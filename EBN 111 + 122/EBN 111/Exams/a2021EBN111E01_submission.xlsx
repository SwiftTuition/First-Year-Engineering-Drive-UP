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Exam/"/>
    </mc:Choice>
  </mc:AlternateContent>
  <xr:revisionPtr revIDLastSave="74" documentId="11_9A258AF90D7C91125584EF7427038214957E7C74" xr6:coauthVersionLast="47" xr6:coauthVersionMax="47" xr10:uidLastSave="{28B611CB-BCE2-43D1-8842-9D6DB73B2FDC}"/>
  <bookViews>
    <workbookView xWindow="-110" yWindow="-110" windowWidth="19420" windowHeight="110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3" i="1" l="1"/>
  <c r="F313" i="1"/>
  <c r="F304" i="1"/>
  <c r="F294" i="1"/>
  <c r="F282" i="1"/>
  <c r="F273" i="1"/>
  <c r="F263" i="1"/>
  <c r="F254" i="1"/>
  <c r="F244" i="1"/>
  <c r="F235" i="1"/>
  <c r="F227" i="1"/>
  <c r="F215" i="1"/>
  <c r="F205" i="1"/>
  <c r="F195" i="1"/>
  <c r="F186" i="1"/>
  <c r="F177" i="1"/>
  <c r="F168" i="1"/>
  <c r="F159" i="1"/>
  <c r="F150" i="1"/>
  <c r="F139" i="1"/>
  <c r="F129" i="1"/>
  <c r="F119" i="1"/>
  <c r="F106" i="1"/>
  <c r="F97" i="1"/>
  <c r="F85" i="1"/>
  <c r="F72" i="1"/>
  <c r="F63" i="1"/>
  <c r="F54" i="1"/>
  <c r="F43" i="1"/>
  <c r="F34" i="1"/>
  <c r="F25" i="1"/>
</calcChain>
</file>

<file path=xl/sharedStrings.xml><?xml version="1.0" encoding="utf-8"?>
<sst xmlns="http://schemas.openxmlformats.org/spreadsheetml/2006/main" count="548" uniqueCount="247">
  <si>
    <t>2021EBN111E01</t>
  </si>
  <si>
    <t>Student number:</t>
  </si>
  <si>
    <t>21495034</t>
  </si>
  <si>
    <t>07/07/2021 08:00 AM - 07/07/2021 11:20 AM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</si>
  <si>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</si>
  <si>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</si>
  <si>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</si>
  <si>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</si>
  <si>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</si>
  <si>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</si>
  <si>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Form:</t>
  </si>
  <si>
    <t>1.23+j4.56</t>
  </si>
  <si>
    <t>k&amp;Omega;</t>
  </si>
  <si>
    <t>Polar Form:</t>
  </si>
  <si>
    <t>1.23&amp;ang;4.56&amp;deg;</t>
  </si>
  <si>
    <t>mA</t>
  </si>
  <si>
    <t>Total Marks:</t>
  </si>
  <si>
    <t>Full Marks:</t>
  </si>
  <si>
    <t>Section 1</t>
  </si>
  <si>
    <t>Questions 1 to 2</t>
  </si>
  <si>
    <t>Parameter / Description</t>
  </si>
  <si>
    <t>Numerical</t>
  </si>
  <si>
    <t>Units / Alphanumeric</t>
  </si>
  <si>
    <t>Marks</t>
  </si>
  <si>
    <t>List of examples of valid units</t>
  </si>
  <si>
    <t>I</t>
  </si>
  <si>
    <t>mV</t>
  </si>
  <si>
    <t>x</t>
  </si>
  <si>
    <t>V</t>
  </si>
  <si>
    <t>01</t>
  </si>
  <si>
    <t>VS</t>
  </si>
  <si>
    <t>kV</t>
  </si>
  <si>
    <t>02</t>
  </si>
  <si>
    <t>welement</t>
  </si>
  <si>
    <t>&amp;mu;A</t>
  </si>
  <si>
    <t>Total</t>
  </si>
  <si>
    <t>A</t>
  </si>
  <si>
    <t>m&amp;Omega;</t>
  </si>
  <si>
    <t>&amp;Omega;</t>
  </si>
  <si>
    <t>Questions 3 to 4</t>
  </si>
  <si>
    <t>M&amp;Omega;</t>
  </si>
  <si>
    <t>&amp;mu;F</t>
  </si>
  <si>
    <t>03</t>
  </si>
  <si>
    <t>P1</t>
  </si>
  <si>
    <t>mF</t>
  </si>
  <si>
    <t>04</t>
  </si>
  <si>
    <t>P2</t>
  </si>
  <si>
    <t>F</t>
  </si>
  <si>
    <t>&amp;mu;H</t>
  </si>
  <si>
    <t>mH</t>
  </si>
  <si>
    <t>H</t>
  </si>
  <si>
    <t>s</t>
  </si>
  <si>
    <t>Questions 5 to 6</t>
  </si>
  <si>
    <t>ms</t>
  </si>
  <si>
    <t>&amp;mu;s</t>
  </si>
  <si>
    <t>R</t>
  </si>
  <si>
    <t>C</t>
  </si>
  <si>
    <t>05</t>
  </si>
  <si>
    <t>Rab(RX=0)</t>
  </si>
  <si>
    <t>mW</t>
  </si>
  <si>
    <t>06</t>
  </si>
  <si>
    <t>Rab(RX=inf)</t>
  </si>
  <si>
    <t>W</t>
  </si>
  <si>
    <t>kW</t>
  </si>
  <si>
    <t>&amp;mu;J</t>
  </si>
  <si>
    <t>mJ</t>
  </si>
  <si>
    <t>J</t>
  </si>
  <si>
    <t>Questions 7 to 10</t>
  </si>
  <si>
    <t>kJ</t>
  </si>
  <si>
    <t>&amp;deg;</t>
  </si>
  <si>
    <t>07</t>
  </si>
  <si>
    <t>i1(R=0)</t>
  </si>
  <si>
    <t>08</t>
  </si>
  <si>
    <t>v1(R=60)</t>
  </si>
  <si>
    <t>09</t>
  </si>
  <si>
    <t>i2(R=60)</t>
  </si>
  <si>
    <t>10</t>
  </si>
  <si>
    <t>v2(R=inf)</t>
  </si>
  <si>
    <t>Question 11</t>
  </si>
  <si>
    <t>IS</t>
  </si>
  <si>
    <t>11</t>
  </si>
  <si>
    <t>i1</t>
  </si>
  <si>
    <t>Question 12</t>
  </si>
  <si>
    <t>12</t>
  </si>
  <si>
    <t>v1</t>
  </si>
  <si>
    <t>Questions 13 to 16</t>
  </si>
  <si>
    <t>VS1</t>
  </si>
  <si>
    <t>VS2</t>
  </si>
  <si>
    <t>13</t>
  </si>
  <si>
    <t>a</t>
  </si>
  <si>
    <t>14</t>
  </si>
  <si>
    <t>b</t>
  </si>
  <si>
    <t>15</t>
  </si>
  <si>
    <t>c</t>
  </si>
  <si>
    <t>16</t>
  </si>
  <si>
    <t>d</t>
  </si>
  <si>
    <t>Questions 17 to 20</t>
  </si>
  <si>
    <t>alpha</t>
  </si>
  <si>
    <t>17</t>
  </si>
  <si>
    <t>e</t>
  </si>
  <si>
    <t>18</t>
  </si>
  <si>
    <t>f</t>
  </si>
  <si>
    <t>19</t>
  </si>
  <si>
    <t>g</t>
  </si>
  <si>
    <t>20</t>
  </si>
  <si>
    <t>h</t>
  </si>
  <si>
    <t>Questions 21 to 22</t>
  </si>
  <si>
    <t>iB</t>
  </si>
  <si>
    <t>21</t>
  </si>
  <si>
    <t>22</t>
  </si>
  <si>
    <t>VCE</t>
  </si>
  <si>
    <t>Section 2</t>
  </si>
  <si>
    <t>Questions 23 to 24</t>
  </si>
  <si>
    <t>I1</t>
  </si>
  <si>
    <t>V1</t>
  </si>
  <si>
    <t>23</t>
  </si>
  <si>
    <t>vx(V1)</t>
  </si>
  <si>
    <t>24</t>
  </si>
  <si>
    <t>vx(I1)</t>
  </si>
  <si>
    <t>Questions 25 to 26</t>
  </si>
  <si>
    <t>25</t>
  </si>
  <si>
    <t>RB</t>
  </si>
  <si>
    <t>26</t>
  </si>
  <si>
    <t>VB</t>
  </si>
  <si>
    <t>Questions 27 to 28</t>
  </si>
  <si>
    <t>27</t>
  </si>
  <si>
    <t>VTh</t>
  </si>
  <si>
    <t>28</t>
  </si>
  <si>
    <t>RTh</t>
  </si>
  <si>
    <t>Questions 29 to 30</t>
  </si>
  <si>
    <t>29</t>
  </si>
  <si>
    <t>IN</t>
  </si>
  <si>
    <t>30</t>
  </si>
  <si>
    <t>RN</t>
  </si>
  <si>
    <t>Question 31</t>
  </si>
  <si>
    <t>i</t>
  </si>
  <si>
    <t>Pmax</t>
  </si>
  <si>
    <t>31</t>
  </si>
  <si>
    <t>Question 32</t>
  </si>
  <si>
    <t>vS</t>
  </si>
  <si>
    <t>32</t>
  </si>
  <si>
    <t>v0</t>
  </si>
  <si>
    <t>Question 33</t>
  </si>
  <si>
    <t>VCC</t>
  </si>
  <si>
    <t>33</t>
  </si>
  <si>
    <t>Question 34</t>
  </si>
  <si>
    <t>34</t>
  </si>
  <si>
    <t>Question 35</t>
  </si>
  <si>
    <t>35</t>
  </si>
  <si>
    <t>Question 36</t>
  </si>
  <si>
    <t>v2</t>
  </si>
  <si>
    <t>36</t>
  </si>
  <si>
    <t>Questions 37 to 38</t>
  </si>
  <si>
    <t>vx</t>
  </si>
  <si>
    <t>37</t>
  </si>
  <si>
    <t>38</t>
  </si>
  <si>
    <t>Section 3</t>
  </si>
  <si>
    <t>Questions 39 to 40</t>
  </si>
  <si>
    <t>L</t>
  </si>
  <si>
    <t>39</t>
  </si>
  <si>
    <t>wC</t>
  </si>
  <si>
    <t>40</t>
  </si>
  <si>
    <t>iL</t>
  </si>
  <si>
    <t>Question 41</t>
  </si>
  <si>
    <t>41</t>
  </si>
  <si>
    <t>Leq</t>
  </si>
  <si>
    <t>Question 42</t>
  </si>
  <si>
    <t>42</t>
  </si>
  <si>
    <t>i(2 s)</t>
  </si>
  <si>
    <t>Questions 43 to 44</t>
  </si>
  <si>
    <t>theta</t>
  </si>
  <si>
    <t>43</t>
  </si>
  <si>
    <t>44</t>
  </si>
  <si>
    <t>VT</t>
  </si>
  <si>
    <t>Question 45</t>
  </si>
  <si>
    <t>ZC</t>
  </si>
  <si>
    <t>-16j</t>
  </si>
  <si>
    <t>ZL</t>
  </si>
  <si>
    <t>5j</t>
  </si>
  <si>
    <t>45</t>
  </si>
  <si>
    <t>Zab</t>
  </si>
  <si>
    <t>Questions 46 to 47</t>
  </si>
  <si>
    <t>-4j</t>
  </si>
  <si>
    <t>6j</t>
  </si>
  <si>
    <t>46</t>
  </si>
  <si>
    <t>47</t>
  </si>
  <si>
    <t>Vab</t>
  </si>
  <si>
    <t>Question 48</t>
  </si>
  <si>
    <t>ZR</t>
  </si>
  <si>
    <t>-5j</t>
  </si>
  <si>
    <t>48</t>
  </si>
  <si>
    <t>Io</t>
  </si>
  <si>
    <t>Questions 49 to 52</t>
  </si>
  <si>
    <t>4j</t>
  </si>
  <si>
    <t>49</t>
  </si>
  <si>
    <t>50</t>
  </si>
  <si>
    <t>51</t>
  </si>
  <si>
    <t>52</t>
  </si>
  <si>
    <t>Questions 53 to 54</t>
  </si>
  <si>
    <t>8j</t>
  </si>
  <si>
    <t>53</t>
  </si>
  <si>
    <t>Z1</t>
  </si>
  <si>
    <t>54</t>
  </si>
  <si>
    <t>beta</t>
  </si>
  <si>
    <t>Question 55</t>
  </si>
  <si>
    <t>-6j</t>
  </si>
  <si>
    <t>55</t>
  </si>
  <si>
    <t>Io(A)</t>
  </si>
  <si>
    <t>Questions 56 to 57</t>
  </si>
  <si>
    <t>12j</t>
  </si>
  <si>
    <t>56</t>
  </si>
  <si>
    <t>57</t>
  </si>
  <si>
    <t>ZN</t>
  </si>
  <si>
    <t>Reyneke,R</t>
  </si>
  <si>
    <t>107.63</t>
  </si>
  <si>
    <t>-5</t>
  </si>
  <si>
    <t>4</t>
  </si>
  <si>
    <t>18.75</t>
  </si>
  <si>
    <t>5</t>
  </si>
  <si>
    <t>-7.5</t>
  </si>
  <si>
    <t>0.5</t>
  </si>
  <si>
    <t>5.45</t>
  </si>
  <si>
    <t>12.5</t>
  </si>
  <si>
    <t>1</t>
  </si>
  <si>
    <t>-72</t>
  </si>
  <si>
    <t>-1</t>
  </si>
  <si>
    <t>6</t>
  </si>
  <si>
    <t>130</t>
  </si>
  <si>
    <t>-18</t>
  </si>
  <si>
    <t>0.225</t>
  </si>
  <si>
    <t>450</t>
  </si>
  <si>
    <t>27.9</t>
  </si>
  <si>
    <t>190</t>
  </si>
  <si>
    <t>3.33</t>
  </si>
  <si>
    <t>33.33</t>
  </si>
  <si>
    <t>8.49</t>
  </si>
  <si>
    <t>478.67</t>
  </si>
  <si>
    <t>9.01</t>
  </si>
  <si>
    <t>2.73</t>
  </si>
  <si>
    <t>4.44</t>
  </si>
  <si>
    <t>864</t>
  </si>
  <si>
    <t>3.5</t>
  </si>
  <si>
    <t>1.75</t>
  </si>
  <si>
    <t>3.51&amp;ang;-88.53&amp;deg;</t>
  </si>
  <si>
    <t>2.5-j13.5</t>
  </si>
  <si>
    <t>2+j5</t>
  </si>
  <si>
    <t>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</si>
</sst>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8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333300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4" fillId="0" borderId="19" xfId="0" applyFont="1" applyBorder="1" applyAlignment="1">
      <alignment horizontal="center" wrapText="1"/>
    </xf>
    <xf numFmtId="0" fontId="17" fillId="0" borderId="20" xfId="0" applyFont="1" applyBorder="1" applyAlignment="1">
      <alignment horizont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9" fillId="0" borderId="0" xfId="0" applyFont="1" applyAlignment="1">
      <alignment vertical="center"/>
    </xf>
    <xf numFmtId="0" fontId="9" fillId="0" borderId="10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9" fillId="0" borderId="15" xfId="0" quotePrefix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49" fontId="19" fillId="0" borderId="3" xfId="0" quotePrefix="1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49" fontId="19" fillId="0" borderId="9" xfId="0" quotePrefix="1" applyNumberFormat="1" applyFont="1" applyBorder="1" applyAlignment="1">
      <alignment horizontal="center"/>
    </xf>
    <xf numFmtId="0" fontId="3" fillId="6" borderId="3" xfId="0" applyFont="1" applyFill="1" applyBorder="1" applyAlignment="1">
      <alignment vertical="center" wrapText="1"/>
    </xf>
    <xf numFmtId="49" fontId="15" fillId="3" borderId="4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4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3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8" xfId="0" quotePrefix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19" fillId="0" borderId="29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6" xfId="0" applyFont="1" applyFill="1" applyBorder="1" applyAlignment="1">
      <alignment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 wrapText="1"/>
    </xf>
    <xf numFmtId="0" fontId="15" fillId="8" borderId="26" xfId="0" applyFont="1" applyFill="1" applyBorder="1" applyAlignment="1">
      <alignment horizontal="center" vertical="center" wrapText="1"/>
    </xf>
    <xf numFmtId="0" fontId="20" fillId="8" borderId="24" xfId="0" applyFont="1" applyFill="1" applyBorder="1" applyAlignment="1">
      <alignment horizontal="center" wrapText="1"/>
    </xf>
    <xf numFmtId="0" fontId="9" fillId="8" borderId="27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 vertical="center" wrapText="1"/>
    </xf>
    <xf numFmtId="0" fontId="20" fillId="9" borderId="6" xfId="0" applyFont="1" applyFill="1" applyBorder="1" applyAlignment="1">
      <alignment horizontal="center" vertical="center" wrapText="1"/>
    </xf>
    <xf numFmtId="0" fontId="15" fillId="6" borderId="26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20" fillId="10" borderId="13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0" fillId="0" borderId="0" xfId="0"/>
    <xf numFmtId="0" fontId="11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1" fontId="4" fillId="0" borderId="15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19" fillId="0" borderId="16" xfId="0" quotePrefix="1" applyFont="1" applyBorder="1" applyAlignment="1">
      <alignment horizontal="center"/>
    </xf>
    <xf numFmtId="0" fontId="19" fillId="0" borderId="9" xfId="0" quotePrefix="1" applyFont="1" applyBorder="1" applyAlignment="1">
      <alignment horizontal="center"/>
    </xf>
    <xf numFmtId="0" fontId="19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9" fillId="4" borderId="31" xfId="0" applyFont="1" applyFill="1" applyBorder="1" applyAlignment="1">
      <alignment horizontal="center" wrapText="1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7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6" xfId="0" applyNumberFormat="1" applyFont="1" applyFill="1" applyBorder="1" applyAlignment="1" applyProtection="1">
      <alignment horizontal="center" vertical="center" wrapText="1"/>
      <protection locked="0"/>
    </xf>
    <xf numFmtId="11" fontId="4" fillId="0" borderId="0" xfId="0" applyNumberFormat="1" applyFont="1" applyAlignment="1">
      <alignment horizontal="center" vertical="center" wrapText="1"/>
    </xf>
    <xf numFmtId="0" fontId="15" fillId="11" borderId="0" xfId="0" applyFont="1" applyFill="1" applyAlignment="1">
      <alignment horizontal="left"/>
    </xf>
    <xf numFmtId="0" fontId="15" fillId="11" borderId="0" xfId="0" applyFont="1" applyFill="1"/>
    <xf numFmtId="0" fontId="15" fillId="11" borderId="0" xfId="0" applyFont="1" applyFill="1" applyAlignment="1">
      <alignment horizontal="center"/>
    </xf>
    <xf numFmtId="0" fontId="19" fillId="0" borderId="30" xfId="0" quotePrefix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5" fillId="6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wrapText="1"/>
    </xf>
    <xf numFmtId="0" fontId="9" fillId="6" borderId="14" xfId="0" applyFont="1" applyFill="1" applyBorder="1" applyAlignment="1">
      <alignment horizontal="center"/>
    </xf>
    <xf numFmtId="0" fontId="9" fillId="6" borderId="23" xfId="0" applyFont="1" applyFill="1" applyBorder="1" applyAlignment="1">
      <alignment horizontal="center" wrapText="1"/>
    </xf>
    <xf numFmtId="0" fontId="9" fillId="7" borderId="6" xfId="0" applyFont="1" applyFill="1" applyBorder="1"/>
    <xf numFmtId="0" fontId="9" fillId="7" borderId="13" xfId="0" applyFont="1" applyFill="1" applyBorder="1"/>
    <xf numFmtId="164" fontId="9" fillId="4" borderId="13" xfId="0" applyNumberFormat="1" applyFont="1" applyFill="1" applyBorder="1" applyAlignment="1">
      <alignment horizontal="center" wrapText="1"/>
    </xf>
    <xf numFmtId="0" fontId="15" fillId="4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/>
    </xf>
    <xf numFmtId="0" fontId="9" fillId="4" borderId="24" xfId="0" applyFont="1" applyFill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7" xfId="0" applyNumberFormat="1" applyFont="1" applyFill="1" applyBorder="1" applyAlignment="1">
      <alignment horizontal="center" wrapText="1"/>
    </xf>
    <xf numFmtId="6" fontId="9" fillId="0" borderId="6" xfId="0" applyNumberFormat="1" applyFont="1" applyBorder="1" applyAlignment="1">
      <alignment horizontal="center"/>
    </xf>
    <xf numFmtId="6" fontId="9" fillId="8" borderId="26" xfId="0" applyNumberFormat="1" applyFont="1" applyFill="1" applyBorder="1" applyAlignment="1">
      <alignment horizontal="center" wrapText="1"/>
    </xf>
    <xf numFmtId="6" fontId="9" fillId="6" borderId="26" xfId="0" applyNumberFormat="1" applyFont="1" applyFill="1" applyBorder="1" applyAlignment="1">
      <alignment horizontal="center" wrapText="1"/>
    </xf>
    <xf numFmtId="6" fontId="9" fillId="6" borderId="13" xfId="0" applyNumberFormat="1" applyFont="1" applyFill="1" applyBorder="1" applyAlignment="1">
      <alignment horizontal="center" wrapText="1"/>
    </xf>
    <xf numFmtId="0" fontId="3" fillId="6" borderId="32" xfId="0" applyFont="1" applyFill="1" applyBorder="1" applyAlignment="1">
      <alignment horizontal="center" vertical="center" wrapText="1"/>
    </xf>
    <xf numFmtId="0" fontId="0" fillId="0" borderId="15" xfId="0" applyBorder="1"/>
    <xf numFmtId="0" fontId="2" fillId="0" borderId="33" xfId="0" applyFont="1" applyBorder="1" applyAlignment="1">
      <alignment horizontal="center" vertical="center"/>
    </xf>
    <xf numFmtId="0" fontId="0" fillId="0" borderId="22" xfId="0" applyBorder="1"/>
    <xf numFmtId="0" fontId="0" fillId="0" borderId="34" xfId="0" applyBorder="1"/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21" fillId="0" borderId="33" xfId="0" applyFont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0" fillId="0" borderId="35" xfId="0" applyBorder="1"/>
    <xf numFmtId="0" fontId="4" fillId="3" borderId="1" xfId="0" applyFont="1" applyFill="1" applyBorder="1" applyAlignment="1">
      <alignment horizontal="center"/>
    </xf>
    <xf numFmtId="0" fontId="0" fillId="0" borderId="36" xfId="0" applyBorder="1"/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7" xfId="0" applyBorder="1"/>
    <xf numFmtId="0" fontId="2" fillId="0" borderId="1" xfId="0" applyFont="1" applyBorder="1" applyAlignment="1">
      <alignment horizontal="left"/>
    </xf>
    <xf numFmtId="0" fontId="3" fillId="9" borderId="3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1" fillId="0" borderId="16" xfId="0" applyFont="1" applyBorder="1" applyAlignment="1">
      <alignment horizontal="center"/>
    </xf>
    <xf numFmtId="0" fontId="0" fillId="0" borderId="38" xfId="0" applyBorder="1"/>
    <xf numFmtId="0" fontId="11" fillId="0" borderId="15" xfId="0" applyFont="1" applyBorder="1" applyAlignment="1">
      <alignment horizontal="center"/>
    </xf>
    <xf numFmtId="0" fontId="0" fillId="0" borderId="39" xfId="0" applyBorder="1"/>
    <xf numFmtId="49" fontId="15" fillId="3" borderId="23" xfId="0" quotePrefix="1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26"/>
  <sheetViews>
    <sheetView showGridLines="0" tabSelected="1" zoomScaleNormal="100" workbookViewId="0">
      <selection activeCell="E272" sqref="E272"/>
    </sheetView>
  </sheetViews>
  <sheetFormatPr defaultColWidth="11.08203125" defaultRowHeight="15.5" x14ac:dyDescent="0.35"/>
  <cols>
    <col min="1" max="1" width="2.33203125" style="73" customWidth="1"/>
    <col min="2" max="2" width="9.58203125" style="73" customWidth="1"/>
    <col min="3" max="3" width="38.83203125" style="73" customWidth="1"/>
    <col min="4" max="4" width="25.83203125" style="73" customWidth="1"/>
    <col min="5" max="5" width="17.58203125" style="73" customWidth="1"/>
    <col min="6" max="6" width="13.5" style="73" customWidth="1"/>
    <col min="7" max="7" width="5.08203125" style="73" customWidth="1"/>
    <col min="8" max="8" width="4.75" style="29" customWidth="1"/>
    <col min="9" max="9" width="15.08203125" style="73" customWidth="1"/>
    <col min="10" max="10" width="10.25" style="4" customWidth="1"/>
    <col min="11" max="23" width="4.75" style="73" customWidth="1"/>
    <col min="24" max="24" width="11.08203125" style="73" customWidth="1"/>
    <col min="25" max="16384" width="11.08203125" style="73"/>
  </cols>
  <sheetData>
    <row r="1" spans="2:13" ht="18.75" customHeight="1" x14ac:dyDescent="0.35">
      <c r="B1" s="145" t="s">
        <v>0</v>
      </c>
      <c r="C1" s="140"/>
      <c r="D1" s="1" t="s">
        <v>1</v>
      </c>
      <c r="E1" s="139" t="s">
        <v>2</v>
      </c>
      <c r="F1" s="140"/>
      <c r="G1" s="2"/>
      <c r="H1" s="3"/>
      <c r="K1" s="5"/>
      <c r="L1" s="5"/>
      <c r="M1" s="5"/>
    </row>
    <row r="2" spans="2:13" x14ac:dyDescent="0.35">
      <c r="B2" s="141" t="s">
        <v>3</v>
      </c>
      <c r="C2" s="140"/>
      <c r="D2" s="1" t="s">
        <v>4</v>
      </c>
      <c r="E2" s="142" t="s">
        <v>213</v>
      </c>
      <c r="F2" s="140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4" customHeight="1" x14ac:dyDescent="0.35">
      <c r="B4" s="143" t="s">
        <v>5</v>
      </c>
      <c r="C4" s="144"/>
      <c r="D4" s="144"/>
      <c r="E4" s="144"/>
      <c r="F4" s="140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47" t="s">
        <v>6</v>
      </c>
      <c r="D6" s="140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47" t="s">
        <v>7</v>
      </c>
      <c r="D7" s="140"/>
      <c r="E7" s="12"/>
      <c r="F7" s="5"/>
      <c r="G7" s="5"/>
      <c r="H7" s="3"/>
      <c r="L7" s="5"/>
      <c r="M7" s="5"/>
    </row>
    <row r="8" spans="2:13" x14ac:dyDescent="0.35">
      <c r="B8" s="15"/>
      <c r="C8" s="147" t="s">
        <v>8</v>
      </c>
      <c r="D8" s="140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48" t="s">
        <v>9</v>
      </c>
      <c r="C10" s="149"/>
      <c r="D10" s="149"/>
      <c r="E10" s="149"/>
      <c r="F10" s="149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150" t="s">
        <v>16</v>
      </c>
      <c r="E14" s="151"/>
      <c r="F14" s="25">
        <v>93</v>
      </c>
      <c r="G14" s="24"/>
      <c r="H14" s="35"/>
      <c r="J14" s="26"/>
      <c r="L14" s="24"/>
      <c r="M14" s="24"/>
    </row>
    <row r="15" spans="2:13" ht="21" customHeight="1" thickBot="1" x14ac:dyDescent="0.45">
      <c r="B15" s="23"/>
      <c r="C15" s="24"/>
      <c r="D15" s="152" t="s">
        <v>17</v>
      </c>
      <c r="E15" s="153"/>
      <c r="F15" s="27">
        <v>90</v>
      </c>
      <c r="G15" s="24"/>
      <c r="H15" s="35"/>
      <c r="J15" s="26"/>
    </row>
    <row r="16" spans="2:13" ht="21" customHeight="1" thickBot="1" x14ac:dyDescent="0.45">
      <c r="B16" s="23"/>
      <c r="C16" s="24"/>
      <c r="D16" s="74"/>
      <c r="E16" s="74"/>
      <c r="F16" s="28"/>
      <c r="G16" s="24"/>
      <c r="H16" s="35"/>
      <c r="J16" s="26"/>
    </row>
    <row r="17" spans="2:13" ht="22" customHeight="1" thickBot="1" x14ac:dyDescent="0.4">
      <c r="B17" s="136" t="s">
        <v>18</v>
      </c>
      <c r="C17" s="132"/>
      <c r="D17" s="132"/>
      <c r="E17" s="132"/>
      <c r="F17" s="133"/>
      <c r="G17" s="24"/>
      <c r="H17" s="35"/>
      <c r="J17" s="26"/>
    </row>
    <row r="18" spans="2:13" ht="15.75" customHeight="1" thickBot="1" x14ac:dyDescent="0.4">
      <c r="B18" s="99"/>
      <c r="C18" s="99"/>
      <c r="D18" s="99"/>
      <c r="E18" s="99"/>
      <c r="F18" s="99"/>
      <c r="G18" s="24"/>
      <c r="H18" s="35"/>
      <c r="J18" s="26"/>
    </row>
    <row r="19" spans="2:13" ht="19.5" customHeight="1" thickBot="1" x14ac:dyDescent="0.4">
      <c r="B19" s="131" t="s">
        <v>19</v>
      </c>
      <c r="C19" s="132"/>
      <c r="D19" s="132"/>
      <c r="E19" s="132"/>
      <c r="F19" s="133"/>
    </row>
    <row r="20" spans="2:13" ht="30" customHeight="1" thickBot="1" x14ac:dyDescent="0.4">
      <c r="B20" s="75"/>
      <c r="C20" s="76" t="s">
        <v>20</v>
      </c>
      <c r="D20" s="76" t="s">
        <v>21</v>
      </c>
      <c r="E20" s="76" t="s">
        <v>22</v>
      </c>
      <c r="F20" s="77" t="s">
        <v>23</v>
      </c>
      <c r="I20" s="30" t="s">
        <v>24</v>
      </c>
    </row>
    <row r="21" spans="2:13" ht="16.5" customHeight="1" x14ac:dyDescent="0.35">
      <c r="B21" s="134"/>
      <c r="C21" s="123" t="s">
        <v>25</v>
      </c>
      <c r="D21" s="78">
        <v>1</v>
      </c>
      <c r="E21" s="79" t="s">
        <v>15</v>
      </c>
      <c r="F21" s="80"/>
      <c r="I21" s="40" t="s">
        <v>26</v>
      </c>
    </row>
    <row r="22" spans="2:13" ht="16.5" customHeight="1" thickBot="1" x14ac:dyDescent="0.4">
      <c r="B22" s="135"/>
      <c r="C22" s="88" t="s">
        <v>27</v>
      </c>
      <c r="D22" s="89">
        <v>0.17499999999999999</v>
      </c>
      <c r="E22" s="15"/>
      <c r="F22" s="91"/>
      <c r="I22" s="31" t="s">
        <v>28</v>
      </c>
    </row>
    <row r="23" spans="2:13" ht="16.5" customHeight="1" x14ac:dyDescent="0.35">
      <c r="B23" s="44" t="s">
        <v>29</v>
      </c>
      <c r="C23" s="45" t="s">
        <v>30</v>
      </c>
      <c r="D23" s="49" t="s">
        <v>148</v>
      </c>
      <c r="E23" s="101" t="s">
        <v>28</v>
      </c>
      <c r="F23" s="46">
        <v>2</v>
      </c>
      <c r="I23" s="31" t="s">
        <v>31</v>
      </c>
    </row>
    <row r="24" spans="2:13" ht="16.5" customHeight="1" thickBot="1" x14ac:dyDescent="0.4">
      <c r="B24" s="94" t="s">
        <v>32</v>
      </c>
      <c r="C24" s="95" t="s">
        <v>33</v>
      </c>
      <c r="D24" s="102" t="s">
        <v>214</v>
      </c>
      <c r="E24" s="50" t="s">
        <v>65</v>
      </c>
      <c r="F24" s="96">
        <v>2</v>
      </c>
      <c r="I24" s="31" t="s">
        <v>34</v>
      </c>
    </row>
    <row r="25" spans="2:13" ht="16.5" customHeight="1" thickBot="1" x14ac:dyDescent="0.4">
      <c r="E25" s="83" t="s">
        <v>35</v>
      </c>
      <c r="F25" s="84">
        <f>SUM(F23:F24)</f>
        <v>4</v>
      </c>
      <c r="I25" s="31" t="s">
        <v>15</v>
      </c>
      <c r="L25" s="24"/>
      <c r="M25" s="24"/>
    </row>
    <row r="26" spans="2:13" ht="16.5" customHeight="1" x14ac:dyDescent="0.35">
      <c r="I26" s="32" t="s">
        <v>36</v>
      </c>
      <c r="L26" s="24"/>
      <c r="M26" s="24"/>
    </row>
    <row r="27" spans="2:13" ht="16.5" customHeight="1" x14ac:dyDescent="0.35">
      <c r="B27" s="85"/>
      <c r="C27" s="86"/>
      <c r="D27" s="86"/>
      <c r="E27" s="86"/>
      <c r="F27" s="87"/>
      <c r="I27" s="31" t="s">
        <v>37</v>
      </c>
    </row>
    <row r="28" spans="2:13" ht="16.5" customHeight="1" thickBot="1" x14ac:dyDescent="0.4">
      <c r="I28" s="31" t="s">
        <v>38</v>
      </c>
    </row>
    <row r="29" spans="2:13" ht="19.5" customHeight="1" thickBot="1" x14ac:dyDescent="0.4">
      <c r="B29" s="131" t="s">
        <v>39</v>
      </c>
      <c r="C29" s="132"/>
      <c r="D29" s="132"/>
      <c r="E29" s="132"/>
      <c r="F29" s="133"/>
      <c r="I29" s="31" t="s">
        <v>12</v>
      </c>
    </row>
    <row r="30" spans="2:13" ht="30" customHeight="1" thickBot="1" x14ac:dyDescent="0.4">
      <c r="B30" s="75"/>
      <c r="C30" s="76" t="s">
        <v>20</v>
      </c>
      <c r="D30" s="76" t="s">
        <v>21</v>
      </c>
      <c r="E30" s="76" t="s">
        <v>22</v>
      </c>
      <c r="F30" s="77" t="s">
        <v>23</v>
      </c>
      <c r="I30" s="31" t="s">
        <v>40</v>
      </c>
    </row>
    <row r="31" spans="2:13" ht="16.5" customHeight="1" thickBot="1" x14ac:dyDescent="0.4">
      <c r="B31" s="58"/>
      <c r="C31" s="124" t="s">
        <v>30</v>
      </c>
      <c r="D31" s="59">
        <v>5</v>
      </c>
      <c r="E31" s="61" t="s">
        <v>28</v>
      </c>
      <c r="F31" s="60"/>
      <c r="I31" s="31" t="s">
        <v>41</v>
      </c>
    </row>
    <row r="32" spans="2:13" ht="16.5" customHeight="1" x14ac:dyDescent="0.35">
      <c r="B32" s="47" t="s">
        <v>42</v>
      </c>
      <c r="C32" s="97" t="s">
        <v>43</v>
      </c>
      <c r="D32" s="101" t="s">
        <v>216</v>
      </c>
      <c r="E32" s="101" t="s">
        <v>62</v>
      </c>
      <c r="F32" s="98">
        <v>2</v>
      </c>
      <c r="I32" s="31" t="s">
        <v>44</v>
      </c>
    </row>
    <row r="33" spans="2:13" ht="16.5" customHeight="1" thickBot="1" x14ac:dyDescent="0.4">
      <c r="B33" s="41" t="s">
        <v>45</v>
      </c>
      <c r="C33" s="42" t="s">
        <v>46</v>
      </c>
      <c r="D33" s="50" t="s">
        <v>215</v>
      </c>
      <c r="E33" s="50" t="s">
        <v>62</v>
      </c>
      <c r="F33" s="43">
        <v>1</v>
      </c>
      <c r="I33" s="31" t="s">
        <v>47</v>
      </c>
    </row>
    <row r="34" spans="2:13" ht="16.5" customHeight="1" thickBot="1" x14ac:dyDescent="0.4">
      <c r="E34" s="83" t="s">
        <v>35</v>
      </c>
      <c r="F34" s="84">
        <f>SUM(F32:F33)</f>
        <v>3</v>
      </c>
      <c r="I34" s="31" t="s">
        <v>48</v>
      </c>
    </row>
    <row r="35" spans="2:13" ht="16.5" customHeight="1" x14ac:dyDescent="0.35">
      <c r="I35" s="31" t="s">
        <v>49</v>
      </c>
    </row>
    <row r="36" spans="2:13" ht="16.5" customHeight="1" x14ac:dyDescent="0.35">
      <c r="B36" s="85"/>
      <c r="C36" s="86"/>
      <c r="D36" s="86"/>
      <c r="E36" s="86"/>
      <c r="F36" s="87"/>
      <c r="I36" s="31" t="s">
        <v>50</v>
      </c>
    </row>
    <row r="37" spans="2:13" ht="16.5" customHeight="1" thickBot="1" x14ac:dyDescent="0.4">
      <c r="I37" s="31" t="s">
        <v>51</v>
      </c>
    </row>
    <row r="38" spans="2:13" ht="19.5" customHeight="1" thickBot="1" x14ac:dyDescent="0.4">
      <c r="B38" s="131" t="s">
        <v>52</v>
      </c>
      <c r="C38" s="132"/>
      <c r="D38" s="132"/>
      <c r="E38" s="132"/>
      <c r="F38" s="133"/>
      <c r="I38" s="31" t="s">
        <v>53</v>
      </c>
    </row>
    <row r="39" spans="2:13" ht="30" customHeight="1" thickBot="1" x14ac:dyDescent="0.4">
      <c r="B39" s="75"/>
      <c r="C39" s="76" t="s">
        <v>20</v>
      </c>
      <c r="D39" s="76" t="s">
        <v>21</v>
      </c>
      <c r="E39" s="76" t="s">
        <v>22</v>
      </c>
      <c r="F39" s="77" t="s">
        <v>23</v>
      </c>
      <c r="I39" s="31" t="s">
        <v>54</v>
      </c>
    </row>
    <row r="40" spans="2:13" ht="16.5" customHeight="1" thickBot="1" x14ac:dyDescent="0.4">
      <c r="B40" s="48"/>
      <c r="C40" s="123" t="s">
        <v>55</v>
      </c>
      <c r="D40" s="78">
        <v>30</v>
      </c>
      <c r="E40" s="79" t="s">
        <v>38</v>
      </c>
      <c r="F40" s="80"/>
      <c r="I40" s="31" t="s">
        <v>56</v>
      </c>
    </row>
    <row r="41" spans="2:13" ht="16.5" customHeight="1" x14ac:dyDescent="0.35">
      <c r="B41" s="93" t="s">
        <v>57</v>
      </c>
      <c r="C41" s="125" t="s">
        <v>58</v>
      </c>
      <c r="D41" s="101" t="s">
        <v>104</v>
      </c>
      <c r="E41" s="101" t="s">
        <v>38</v>
      </c>
      <c r="F41" s="98">
        <v>2</v>
      </c>
      <c r="I41" s="31" t="s">
        <v>59</v>
      </c>
    </row>
    <row r="42" spans="2:13" ht="16.5" customHeight="1" thickBot="1" x14ac:dyDescent="0.4">
      <c r="B42" s="94" t="s">
        <v>60</v>
      </c>
      <c r="C42" s="95" t="s">
        <v>61</v>
      </c>
      <c r="D42" s="102" t="s">
        <v>217</v>
      </c>
      <c r="E42" s="102" t="s">
        <v>38</v>
      </c>
      <c r="F42" s="96">
        <v>2</v>
      </c>
      <c r="I42" s="31" t="s">
        <v>62</v>
      </c>
    </row>
    <row r="43" spans="2:13" ht="16.5" customHeight="1" thickBot="1" x14ac:dyDescent="0.4">
      <c r="E43" s="83" t="s">
        <v>35</v>
      </c>
      <c r="F43" s="84">
        <f>SUM(F41,F42)</f>
        <v>4</v>
      </c>
      <c r="I43" s="31" t="s">
        <v>63</v>
      </c>
    </row>
    <row r="44" spans="2:13" ht="16.5" customHeight="1" x14ac:dyDescent="0.35">
      <c r="I44" s="31" t="s">
        <v>64</v>
      </c>
    </row>
    <row r="45" spans="2:13" ht="16.5" customHeight="1" x14ac:dyDescent="0.35">
      <c r="B45" s="85"/>
      <c r="C45" s="86"/>
      <c r="D45" s="86"/>
      <c r="E45" s="86"/>
      <c r="F45" s="87"/>
      <c r="I45" s="31" t="s">
        <v>65</v>
      </c>
    </row>
    <row r="46" spans="2:13" ht="16.5" customHeight="1" thickBot="1" x14ac:dyDescent="0.4">
      <c r="I46" s="31" t="s">
        <v>66</v>
      </c>
    </row>
    <row r="47" spans="2:13" ht="19.5" customHeight="1" thickBot="1" x14ac:dyDescent="0.4">
      <c r="B47" s="131" t="s">
        <v>67</v>
      </c>
      <c r="C47" s="132"/>
      <c r="D47" s="132"/>
      <c r="E47" s="132"/>
      <c r="F47" s="133"/>
      <c r="I47" s="31" t="s">
        <v>68</v>
      </c>
      <c r="L47" s="24"/>
      <c r="M47" s="24"/>
    </row>
    <row r="48" spans="2:13" ht="30" customHeight="1" thickBot="1" x14ac:dyDescent="0.4">
      <c r="B48" s="75"/>
      <c r="C48" s="76" t="s">
        <v>20</v>
      </c>
      <c r="D48" s="76" t="s">
        <v>21</v>
      </c>
      <c r="E48" s="76" t="s">
        <v>22</v>
      </c>
      <c r="F48" s="77" t="s">
        <v>23</v>
      </c>
      <c r="I48" s="33" t="s">
        <v>69</v>
      </c>
      <c r="L48" s="24"/>
      <c r="M48" s="24"/>
    </row>
    <row r="49" spans="2:13" ht="16.5" customHeight="1" thickBot="1" x14ac:dyDescent="0.4">
      <c r="B49" s="48"/>
      <c r="C49" s="123" t="s">
        <v>30</v>
      </c>
      <c r="D49" s="78">
        <v>10</v>
      </c>
      <c r="E49" s="61" t="s">
        <v>28</v>
      </c>
      <c r="F49" s="80"/>
    </row>
    <row r="50" spans="2:13" ht="16.5" customHeight="1" x14ac:dyDescent="0.35">
      <c r="B50" s="93" t="s">
        <v>70</v>
      </c>
      <c r="C50" s="97" t="s">
        <v>71</v>
      </c>
      <c r="D50" s="101" t="s">
        <v>218</v>
      </c>
      <c r="E50" s="101" t="s">
        <v>36</v>
      </c>
      <c r="F50" s="98">
        <v>1</v>
      </c>
    </row>
    <row r="51" spans="2:13" ht="16.5" customHeight="1" x14ac:dyDescent="0.35">
      <c r="B51" s="52" t="s">
        <v>72</v>
      </c>
      <c r="C51" s="56" t="s">
        <v>73</v>
      </c>
      <c r="D51" s="154" t="s">
        <v>219</v>
      </c>
      <c r="E51" s="57" t="s">
        <v>28</v>
      </c>
      <c r="F51" s="54">
        <v>1</v>
      </c>
    </row>
    <row r="52" spans="2:13" ht="16.5" customHeight="1" x14ac:dyDescent="0.35">
      <c r="B52" s="55" t="s">
        <v>74</v>
      </c>
      <c r="C52" s="53" t="s">
        <v>75</v>
      </c>
      <c r="D52" s="57" t="s">
        <v>220</v>
      </c>
      <c r="E52" s="104" t="s">
        <v>36</v>
      </c>
      <c r="F52" s="39">
        <v>1</v>
      </c>
    </row>
    <row r="53" spans="2:13" ht="16.5" customHeight="1" thickBot="1" x14ac:dyDescent="0.4">
      <c r="B53" s="94" t="s">
        <v>76</v>
      </c>
      <c r="C53" s="95" t="s">
        <v>77</v>
      </c>
      <c r="D53" s="102" t="s">
        <v>221</v>
      </c>
      <c r="E53" s="50" t="s">
        <v>28</v>
      </c>
      <c r="F53" s="96">
        <v>1</v>
      </c>
    </row>
    <row r="54" spans="2:13" ht="16.5" customHeight="1" thickBot="1" x14ac:dyDescent="0.4">
      <c r="E54" s="83" t="s">
        <v>35</v>
      </c>
      <c r="F54" s="84">
        <f>SUM(F50:F53)</f>
        <v>4</v>
      </c>
    </row>
    <row r="55" spans="2:13" ht="16.5" customHeight="1" x14ac:dyDescent="0.35"/>
    <row r="56" spans="2:13" ht="16.5" customHeight="1" x14ac:dyDescent="0.35">
      <c r="B56" s="85"/>
      <c r="C56" s="86"/>
      <c r="D56" s="86"/>
      <c r="E56" s="86"/>
      <c r="F56" s="87"/>
    </row>
    <row r="57" spans="2:13" ht="16.5" customHeight="1" thickBot="1" x14ac:dyDescent="0.4">
      <c r="L57" s="24"/>
      <c r="M57" s="24"/>
    </row>
    <row r="58" spans="2:13" ht="19.5" customHeight="1" thickBot="1" x14ac:dyDescent="0.4">
      <c r="B58" s="131" t="s">
        <v>78</v>
      </c>
      <c r="C58" s="132"/>
      <c r="D58" s="132"/>
      <c r="E58" s="132"/>
      <c r="F58" s="133"/>
      <c r="L58" s="24"/>
      <c r="M58" s="24"/>
    </row>
    <row r="59" spans="2:13" ht="30" customHeight="1" thickBot="1" x14ac:dyDescent="0.4">
      <c r="B59" s="75"/>
      <c r="C59" s="76" t="s">
        <v>20</v>
      </c>
      <c r="D59" s="76" t="s">
        <v>21</v>
      </c>
      <c r="E59" s="76" t="s">
        <v>22</v>
      </c>
      <c r="F59" s="77" t="s">
        <v>23</v>
      </c>
    </row>
    <row r="60" spans="2:13" ht="16.5" customHeight="1" x14ac:dyDescent="0.35">
      <c r="B60" s="146"/>
      <c r="C60" s="66" t="s">
        <v>79</v>
      </c>
      <c r="D60" s="66">
        <v>1</v>
      </c>
      <c r="E60" s="66" t="s">
        <v>15</v>
      </c>
      <c r="F60" s="65"/>
    </row>
    <row r="61" spans="2:13" ht="16.5" customHeight="1" thickBot="1" x14ac:dyDescent="0.4">
      <c r="B61" s="130"/>
      <c r="C61" s="126" t="s">
        <v>55</v>
      </c>
      <c r="D61" s="62">
        <v>4</v>
      </c>
      <c r="E61" s="63" t="s">
        <v>12</v>
      </c>
      <c r="F61" s="64"/>
    </row>
    <row r="62" spans="2:13" ht="16.5" customHeight="1" thickBot="1" x14ac:dyDescent="0.4">
      <c r="B62" s="92" t="s">
        <v>80</v>
      </c>
      <c r="C62" s="81" t="s">
        <v>81</v>
      </c>
      <c r="D62" s="103" t="s">
        <v>222</v>
      </c>
      <c r="E62" s="50" t="s">
        <v>15</v>
      </c>
      <c r="F62" s="82">
        <v>2</v>
      </c>
    </row>
    <row r="63" spans="2:13" ht="16.5" customHeight="1" thickBot="1" x14ac:dyDescent="0.4">
      <c r="E63" s="83" t="s">
        <v>35</v>
      </c>
      <c r="F63" s="84">
        <f>SUM(F62:F62)</f>
        <v>2</v>
      </c>
      <c r="G63" s="24"/>
      <c r="H63" s="35"/>
      <c r="J63" s="26"/>
    </row>
    <row r="64" spans="2:13" ht="16.5" customHeight="1" x14ac:dyDescent="0.35"/>
    <row r="65" spans="2:13" ht="16.5" customHeight="1" x14ac:dyDescent="0.35">
      <c r="B65" s="85"/>
      <c r="C65" s="86"/>
      <c r="D65" s="86"/>
      <c r="E65" s="86"/>
      <c r="F65" s="87"/>
    </row>
    <row r="66" spans="2:13" ht="16.5" customHeight="1" thickBot="1" x14ac:dyDescent="0.4">
      <c r="L66" s="24"/>
      <c r="M66" s="24"/>
    </row>
    <row r="67" spans="2:13" ht="19.5" customHeight="1" thickBot="1" x14ac:dyDescent="0.4">
      <c r="B67" s="131" t="s">
        <v>82</v>
      </c>
      <c r="C67" s="132"/>
      <c r="D67" s="132"/>
      <c r="E67" s="132"/>
      <c r="F67" s="133"/>
      <c r="L67" s="24"/>
      <c r="M67" s="24"/>
    </row>
    <row r="68" spans="2:13" ht="30" customHeight="1" thickBot="1" x14ac:dyDescent="0.4">
      <c r="B68" s="75"/>
      <c r="C68" s="76" t="s">
        <v>20</v>
      </c>
      <c r="D68" s="76" t="s">
        <v>21</v>
      </c>
      <c r="E68" s="76" t="s">
        <v>22</v>
      </c>
      <c r="F68" s="77" t="s">
        <v>23</v>
      </c>
      <c r="L68" s="24"/>
      <c r="M68" s="24"/>
    </row>
    <row r="69" spans="2:13" ht="16.5" customHeight="1" x14ac:dyDescent="0.35">
      <c r="B69" s="146"/>
      <c r="C69" s="66" t="s">
        <v>30</v>
      </c>
      <c r="D69" s="66">
        <v>10</v>
      </c>
      <c r="E69" s="66" t="s">
        <v>28</v>
      </c>
      <c r="F69" s="65"/>
      <c r="L69" s="24"/>
      <c r="M69" s="24"/>
    </row>
    <row r="70" spans="2:13" ht="16.5" customHeight="1" thickBot="1" x14ac:dyDescent="0.4">
      <c r="B70" s="130"/>
      <c r="C70" s="126" t="s">
        <v>55</v>
      </c>
      <c r="D70" s="62">
        <v>2</v>
      </c>
      <c r="E70" s="63" t="s">
        <v>38</v>
      </c>
      <c r="F70" s="64"/>
      <c r="G70" s="34"/>
      <c r="H70" s="35"/>
      <c r="J70" s="26"/>
    </row>
    <row r="71" spans="2:13" ht="16.5" customHeight="1" thickBot="1" x14ac:dyDescent="0.4">
      <c r="B71" s="92" t="s">
        <v>83</v>
      </c>
      <c r="C71" s="81" t="s">
        <v>84</v>
      </c>
      <c r="D71" s="103" t="s">
        <v>104</v>
      </c>
      <c r="E71" s="50" t="s">
        <v>28</v>
      </c>
      <c r="F71" s="82">
        <v>2</v>
      </c>
      <c r="L71" s="24"/>
      <c r="M71" s="24"/>
    </row>
    <row r="72" spans="2:13" ht="16.5" customHeight="1" thickBot="1" x14ac:dyDescent="0.4">
      <c r="E72" s="83" t="s">
        <v>35</v>
      </c>
      <c r="F72" s="84">
        <f>SUM(F71:F71)</f>
        <v>2</v>
      </c>
      <c r="G72" s="34"/>
      <c r="H72" s="35"/>
      <c r="J72" s="26"/>
    </row>
    <row r="73" spans="2:13" ht="16.5" customHeight="1" x14ac:dyDescent="0.35">
      <c r="L73" s="24"/>
      <c r="M73" s="36"/>
    </row>
    <row r="74" spans="2:13" ht="16.5" customHeight="1" x14ac:dyDescent="0.35">
      <c r="B74" s="85"/>
      <c r="C74" s="86"/>
      <c r="D74" s="86"/>
      <c r="E74" s="86"/>
      <c r="F74" s="87"/>
      <c r="L74" s="24"/>
      <c r="M74" s="36"/>
    </row>
    <row r="75" spans="2:13" ht="16.5" customHeight="1" thickBot="1" x14ac:dyDescent="0.4">
      <c r="L75" s="24"/>
      <c r="M75" s="24"/>
    </row>
    <row r="76" spans="2:13" ht="19.5" customHeight="1" thickBot="1" x14ac:dyDescent="0.4">
      <c r="B76" s="131" t="s">
        <v>85</v>
      </c>
      <c r="C76" s="132"/>
      <c r="D76" s="132"/>
      <c r="E76" s="132"/>
      <c r="F76" s="133"/>
      <c r="L76" s="24"/>
      <c r="M76" s="24"/>
    </row>
    <row r="77" spans="2:13" ht="30" customHeight="1" thickBot="1" x14ac:dyDescent="0.4">
      <c r="B77" s="75"/>
      <c r="C77" s="76" t="s">
        <v>20</v>
      </c>
      <c r="D77" s="76" t="s">
        <v>21</v>
      </c>
      <c r="E77" s="76" t="s">
        <v>22</v>
      </c>
      <c r="F77" s="77" t="s">
        <v>23</v>
      </c>
      <c r="L77" s="24"/>
      <c r="M77" s="24"/>
    </row>
    <row r="78" spans="2:13" ht="16.5" customHeight="1" x14ac:dyDescent="0.35">
      <c r="B78" s="146"/>
      <c r="C78" s="66" t="s">
        <v>86</v>
      </c>
      <c r="D78" s="66">
        <v>6</v>
      </c>
      <c r="E78" s="66" t="s">
        <v>28</v>
      </c>
      <c r="F78" s="65"/>
      <c r="L78" s="24"/>
      <c r="M78" s="24"/>
    </row>
    <row r="79" spans="2:13" ht="16.5" customHeight="1" x14ac:dyDescent="0.35">
      <c r="B79" s="135"/>
      <c r="C79" s="70" t="s">
        <v>87</v>
      </c>
      <c r="D79" s="70">
        <v>6</v>
      </c>
      <c r="E79" s="70" t="s">
        <v>28</v>
      </c>
      <c r="F79" s="69"/>
      <c r="L79" s="24"/>
      <c r="M79" s="24"/>
    </row>
    <row r="80" spans="2:13" ht="16.5" customHeight="1" thickBot="1" x14ac:dyDescent="0.4">
      <c r="B80" s="130"/>
      <c r="C80" s="127" t="s">
        <v>55</v>
      </c>
      <c r="D80" s="67">
        <v>24</v>
      </c>
      <c r="E80" s="115" t="s">
        <v>38</v>
      </c>
      <c r="F80" s="68"/>
      <c r="L80" s="24"/>
      <c r="M80" s="24"/>
    </row>
    <row r="81" spans="2:13" ht="16.5" customHeight="1" x14ac:dyDescent="0.35">
      <c r="B81" s="93" t="s">
        <v>88</v>
      </c>
      <c r="C81" s="97" t="s">
        <v>89</v>
      </c>
      <c r="D81" s="101" t="s">
        <v>223</v>
      </c>
      <c r="E81" s="116"/>
      <c r="F81" s="98">
        <v>1</v>
      </c>
      <c r="L81" s="24"/>
      <c r="M81" s="24"/>
    </row>
    <row r="82" spans="2:13" ht="16.5" customHeight="1" x14ac:dyDescent="0.35">
      <c r="B82" s="52" t="s">
        <v>90</v>
      </c>
      <c r="C82" s="53" t="s">
        <v>91</v>
      </c>
      <c r="D82" s="51" t="s">
        <v>224</v>
      </c>
      <c r="E82" s="15"/>
      <c r="F82" s="54">
        <v>1</v>
      </c>
      <c r="L82" s="24"/>
      <c r="M82" s="24"/>
    </row>
    <row r="83" spans="2:13" ht="16.5" customHeight="1" x14ac:dyDescent="0.35">
      <c r="B83" s="55" t="s">
        <v>92</v>
      </c>
      <c r="C83" s="56" t="s">
        <v>93</v>
      </c>
      <c r="D83" s="57" t="s">
        <v>225</v>
      </c>
      <c r="E83" s="15"/>
      <c r="F83" s="39">
        <v>1</v>
      </c>
      <c r="L83" s="24"/>
      <c r="M83" s="24"/>
    </row>
    <row r="84" spans="2:13" ht="16.5" customHeight="1" thickBot="1" x14ac:dyDescent="0.4">
      <c r="B84" s="94" t="s">
        <v>94</v>
      </c>
      <c r="C84" s="95" t="s">
        <v>95</v>
      </c>
      <c r="D84" s="102" t="s">
        <v>226</v>
      </c>
      <c r="E84" s="117"/>
      <c r="F84" s="96">
        <v>1</v>
      </c>
      <c r="L84" s="24"/>
      <c r="M84" s="37"/>
    </row>
    <row r="85" spans="2:13" ht="16.5" customHeight="1" thickBot="1" x14ac:dyDescent="0.4">
      <c r="E85" s="83" t="s">
        <v>35</v>
      </c>
      <c r="F85" s="84">
        <f>SUM(F81:F84)</f>
        <v>4</v>
      </c>
      <c r="L85" s="24"/>
      <c r="M85" s="24"/>
    </row>
    <row r="86" spans="2:13" ht="16.5" customHeight="1" x14ac:dyDescent="0.35">
      <c r="L86" s="38"/>
      <c r="M86" s="24"/>
    </row>
    <row r="87" spans="2:13" ht="16.5" customHeight="1" x14ac:dyDescent="0.35">
      <c r="B87" s="85"/>
      <c r="C87" s="86"/>
      <c r="D87" s="86"/>
      <c r="E87" s="86"/>
      <c r="F87" s="87"/>
      <c r="L87" s="24"/>
      <c r="M87" s="24"/>
    </row>
    <row r="88" spans="2:13" ht="16.5" customHeight="1" thickBot="1" x14ac:dyDescent="0.4">
      <c r="L88" s="24"/>
      <c r="M88" s="24"/>
    </row>
    <row r="89" spans="2:13" ht="19.5" customHeight="1" thickBot="1" x14ac:dyDescent="0.4">
      <c r="B89" s="131" t="s">
        <v>96</v>
      </c>
      <c r="C89" s="132"/>
      <c r="D89" s="132"/>
      <c r="E89" s="132"/>
      <c r="F89" s="133"/>
      <c r="J89" s="26"/>
      <c r="K89" s="24"/>
    </row>
    <row r="90" spans="2:13" ht="30" customHeight="1" thickBot="1" x14ac:dyDescent="0.4">
      <c r="B90" s="75"/>
      <c r="C90" s="76" t="s">
        <v>20</v>
      </c>
      <c r="D90" s="76" t="s">
        <v>21</v>
      </c>
      <c r="E90" s="76" t="s">
        <v>22</v>
      </c>
      <c r="F90" s="77" t="s">
        <v>23</v>
      </c>
      <c r="J90" s="26"/>
      <c r="K90" s="24"/>
    </row>
    <row r="91" spans="2:13" ht="16.5" customHeight="1" x14ac:dyDescent="0.35">
      <c r="B91" s="146"/>
      <c r="C91" s="66" t="s">
        <v>97</v>
      </c>
      <c r="D91" s="66">
        <v>4</v>
      </c>
      <c r="E91" s="116"/>
      <c r="F91" s="65"/>
      <c r="J91" s="26"/>
      <c r="K91" s="24"/>
    </row>
    <row r="92" spans="2:13" ht="16.5" customHeight="1" thickBot="1" x14ac:dyDescent="0.4">
      <c r="B92" s="130"/>
      <c r="C92" s="71" t="s">
        <v>30</v>
      </c>
      <c r="D92" s="71">
        <v>13</v>
      </c>
      <c r="E92" s="71" t="s">
        <v>28</v>
      </c>
      <c r="F92" s="72"/>
      <c r="L92" s="24"/>
    </row>
    <row r="93" spans="2:13" ht="16.5" customHeight="1" x14ac:dyDescent="0.35">
      <c r="B93" s="109" t="s">
        <v>98</v>
      </c>
      <c r="C93" s="111" t="s">
        <v>99</v>
      </c>
      <c r="D93" s="104" t="s">
        <v>227</v>
      </c>
      <c r="E93" s="116"/>
      <c r="F93" s="110">
        <v>1</v>
      </c>
      <c r="L93" s="24"/>
    </row>
    <row r="94" spans="2:13" ht="16.5" customHeight="1" x14ac:dyDescent="0.35">
      <c r="B94" s="52" t="s">
        <v>100</v>
      </c>
      <c r="C94" s="53" t="s">
        <v>101</v>
      </c>
      <c r="D94" s="51" t="s">
        <v>228</v>
      </c>
      <c r="E94" s="15"/>
      <c r="F94" s="54">
        <v>1</v>
      </c>
      <c r="L94" s="24"/>
    </row>
    <row r="95" spans="2:13" ht="16.5" customHeight="1" x14ac:dyDescent="0.35">
      <c r="B95" s="55" t="s">
        <v>102</v>
      </c>
      <c r="C95" s="56" t="s">
        <v>103</v>
      </c>
      <c r="D95" s="57" t="s">
        <v>223</v>
      </c>
      <c r="E95" s="15"/>
      <c r="F95" s="39">
        <v>1</v>
      </c>
      <c r="M95" s="24"/>
    </row>
    <row r="96" spans="2:13" ht="16.5" customHeight="1" thickBot="1" x14ac:dyDescent="0.4">
      <c r="B96" s="94" t="s">
        <v>104</v>
      </c>
      <c r="C96" s="95" t="s">
        <v>105</v>
      </c>
      <c r="D96" s="102" t="s">
        <v>229</v>
      </c>
      <c r="E96" s="117"/>
      <c r="F96" s="96">
        <v>1</v>
      </c>
      <c r="M96" s="24"/>
    </row>
    <row r="97" spans="2:13" ht="16.5" customHeight="1" thickBot="1" x14ac:dyDescent="0.4">
      <c r="E97" s="83" t="s">
        <v>35</v>
      </c>
      <c r="F97" s="84">
        <f>SUM(F93:F96)</f>
        <v>4</v>
      </c>
      <c r="M97" s="24"/>
    </row>
    <row r="98" spans="2:13" ht="16.5" customHeight="1" x14ac:dyDescent="0.35"/>
    <row r="99" spans="2:13" ht="16.5" customHeight="1" x14ac:dyDescent="0.35">
      <c r="B99" s="85"/>
      <c r="C99" s="86"/>
      <c r="D99" s="86"/>
      <c r="E99" s="86"/>
      <c r="F99" s="87"/>
      <c r="L99" s="24"/>
      <c r="M99" s="24"/>
    </row>
    <row r="100" spans="2:13" ht="16.5" customHeight="1" thickBot="1" x14ac:dyDescent="0.4">
      <c r="L100" s="24"/>
      <c r="M100" s="24"/>
    </row>
    <row r="101" spans="2:13" ht="19.5" customHeight="1" thickBot="1" x14ac:dyDescent="0.4">
      <c r="B101" s="131" t="s">
        <v>106</v>
      </c>
      <c r="C101" s="132"/>
      <c r="D101" s="132"/>
      <c r="E101" s="132"/>
      <c r="F101" s="133"/>
      <c r="J101" s="26"/>
      <c r="K101" s="24"/>
    </row>
    <row r="102" spans="2:13" ht="30" customHeight="1" thickBot="1" x14ac:dyDescent="0.4">
      <c r="B102" s="75"/>
      <c r="C102" s="76" t="s">
        <v>20</v>
      </c>
      <c r="D102" s="76" t="s">
        <v>21</v>
      </c>
      <c r="E102" s="76" t="s">
        <v>22</v>
      </c>
      <c r="F102" s="77" t="s">
        <v>23</v>
      </c>
      <c r="J102" s="26"/>
      <c r="K102" s="24"/>
    </row>
    <row r="103" spans="2:13" ht="16.5" customHeight="1" thickBot="1" x14ac:dyDescent="0.4">
      <c r="B103" s="48"/>
      <c r="C103" s="123" t="s">
        <v>107</v>
      </c>
      <c r="D103" s="78">
        <v>10</v>
      </c>
      <c r="E103" s="79" t="s">
        <v>34</v>
      </c>
      <c r="F103" s="80"/>
      <c r="J103" s="26"/>
      <c r="K103" s="24"/>
    </row>
    <row r="104" spans="2:13" ht="16.5" customHeight="1" x14ac:dyDescent="0.35">
      <c r="B104" s="93" t="s">
        <v>108</v>
      </c>
      <c r="C104" s="125" t="s">
        <v>79</v>
      </c>
      <c r="D104" s="101" t="s">
        <v>230</v>
      </c>
      <c r="E104" s="101" t="s">
        <v>15</v>
      </c>
      <c r="F104" s="98">
        <v>2</v>
      </c>
      <c r="L104" s="24"/>
    </row>
    <row r="105" spans="2:13" ht="16.5" customHeight="1" thickBot="1" x14ac:dyDescent="0.4">
      <c r="B105" s="94" t="s">
        <v>109</v>
      </c>
      <c r="C105" s="95" t="s">
        <v>110</v>
      </c>
      <c r="D105" s="102" t="s">
        <v>231</v>
      </c>
      <c r="E105" s="102" t="s">
        <v>28</v>
      </c>
      <c r="F105" s="96">
        <v>2</v>
      </c>
      <c r="M105" s="24"/>
    </row>
    <row r="106" spans="2:13" ht="16.5" customHeight="1" thickBot="1" x14ac:dyDescent="0.4">
      <c r="E106" s="83" t="s">
        <v>35</v>
      </c>
      <c r="F106" s="84">
        <f>SUM(F104,F105)</f>
        <v>4</v>
      </c>
    </row>
    <row r="107" spans="2:13" ht="16.5" customHeight="1" x14ac:dyDescent="0.35">
      <c r="M107" s="24"/>
    </row>
    <row r="108" spans="2:13" ht="16.5" customHeight="1" x14ac:dyDescent="0.35">
      <c r="B108" s="85"/>
      <c r="C108" s="86"/>
      <c r="D108" s="86"/>
      <c r="E108" s="86"/>
      <c r="F108" s="87"/>
    </row>
    <row r="109" spans="2:13" ht="16.5" customHeight="1" thickBot="1" x14ac:dyDescent="0.4">
      <c r="C109" s="29"/>
      <c r="L109" s="24"/>
      <c r="M109" s="24"/>
    </row>
    <row r="110" spans="2:13" ht="22" customHeight="1" thickBot="1" x14ac:dyDescent="0.4">
      <c r="B110" s="136" t="s">
        <v>111</v>
      </c>
      <c r="C110" s="132"/>
      <c r="D110" s="132"/>
      <c r="E110" s="132"/>
      <c r="F110" s="133"/>
      <c r="L110" s="24"/>
      <c r="M110" s="24"/>
    </row>
    <row r="111" spans="2:13" ht="16.5" customHeight="1" thickBot="1" x14ac:dyDescent="0.4">
      <c r="B111" s="99"/>
      <c r="C111" s="99"/>
      <c r="D111" s="99"/>
      <c r="E111" s="99"/>
      <c r="F111" s="99"/>
      <c r="L111" s="24"/>
      <c r="M111" s="24"/>
    </row>
    <row r="112" spans="2:13" ht="19.5" customHeight="1" thickBot="1" x14ac:dyDescent="0.4">
      <c r="B112" s="131" t="s">
        <v>112</v>
      </c>
      <c r="C112" s="132"/>
      <c r="D112" s="132"/>
      <c r="E112" s="132"/>
      <c r="F112" s="133"/>
      <c r="J112" s="26"/>
      <c r="K112" s="24"/>
    </row>
    <row r="113" spans="2:13" ht="30" customHeight="1" thickBot="1" x14ac:dyDescent="0.4">
      <c r="B113" s="75"/>
      <c r="C113" s="76" t="s">
        <v>20</v>
      </c>
      <c r="D113" s="76" t="s">
        <v>21</v>
      </c>
      <c r="E113" s="76" t="s">
        <v>22</v>
      </c>
      <c r="F113" s="77" t="s">
        <v>23</v>
      </c>
      <c r="J113" s="26"/>
      <c r="K113" s="24"/>
    </row>
    <row r="114" spans="2:13" ht="16.5" customHeight="1" x14ac:dyDescent="0.35">
      <c r="B114" s="137"/>
      <c r="C114" s="123" t="s">
        <v>113</v>
      </c>
      <c r="D114" s="78">
        <v>1</v>
      </c>
      <c r="E114" s="79" t="s">
        <v>36</v>
      </c>
      <c r="F114" s="80"/>
      <c r="J114" s="26"/>
      <c r="K114" s="24"/>
    </row>
    <row r="115" spans="2:13" ht="16.5" customHeight="1" x14ac:dyDescent="0.35">
      <c r="B115" s="135"/>
      <c r="C115" s="88" t="s">
        <v>114</v>
      </c>
      <c r="D115" s="89">
        <v>5</v>
      </c>
      <c r="E115" s="90" t="s">
        <v>28</v>
      </c>
      <c r="F115" s="91"/>
      <c r="L115" s="24"/>
    </row>
    <row r="116" spans="2:13" ht="16.5" customHeight="1" thickBot="1" x14ac:dyDescent="0.4">
      <c r="B116" s="138"/>
      <c r="C116" s="128" t="s">
        <v>55</v>
      </c>
      <c r="D116" s="112">
        <v>54</v>
      </c>
      <c r="E116" s="113" t="s">
        <v>38</v>
      </c>
      <c r="F116" s="114"/>
      <c r="L116" s="24"/>
    </row>
    <row r="117" spans="2:13" ht="16.5" customHeight="1" x14ac:dyDescent="0.35">
      <c r="B117" s="109" t="s">
        <v>115</v>
      </c>
      <c r="C117" s="111" t="s">
        <v>116</v>
      </c>
      <c r="D117" s="104"/>
      <c r="E117" s="104"/>
      <c r="F117" s="110">
        <v>2</v>
      </c>
      <c r="M117" s="24"/>
    </row>
    <row r="118" spans="2:13" ht="16.5" customHeight="1" thickBot="1" x14ac:dyDescent="0.4">
      <c r="B118" s="94" t="s">
        <v>117</v>
      </c>
      <c r="C118" s="95" t="s">
        <v>118</v>
      </c>
      <c r="D118" s="102"/>
      <c r="E118" s="102"/>
      <c r="F118" s="96">
        <v>2</v>
      </c>
    </row>
    <row r="119" spans="2:13" ht="16.5" customHeight="1" thickBot="1" x14ac:dyDescent="0.4">
      <c r="E119" s="83" t="s">
        <v>35</v>
      </c>
      <c r="F119" s="84">
        <f>SUM(F117:F118)</f>
        <v>4</v>
      </c>
      <c r="L119" s="24"/>
      <c r="M119" s="24"/>
    </row>
    <row r="120" spans="2:13" ht="16.5" customHeight="1" x14ac:dyDescent="0.35">
      <c r="L120" s="38"/>
      <c r="M120" s="24"/>
    </row>
    <row r="121" spans="2:13" ht="16.5" customHeight="1" x14ac:dyDescent="0.35">
      <c r="B121" s="85"/>
      <c r="C121" s="86"/>
      <c r="D121" s="86"/>
      <c r="E121" s="86"/>
      <c r="F121" s="87"/>
      <c r="G121" s="24"/>
      <c r="H121" s="35"/>
      <c r="J121" s="26"/>
    </row>
    <row r="122" spans="2:13" ht="16.5" customHeight="1" thickBot="1" x14ac:dyDescent="0.4">
      <c r="L122" s="38"/>
      <c r="M122" s="24"/>
    </row>
    <row r="123" spans="2:13" ht="19.5" customHeight="1" thickBot="1" x14ac:dyDescent="0.4">
      <c r="B123" s="131" t="s">
        <v>119</v>
      </c>
      <c r="C123" s="132"/>
      <c r="D123" s="132"/>
      <c r="E123" s="132"/>
      <c r="F123" s="133"/>
      <c r="L123" s="24"/>
      <c r="M123" s="24"/>
    </row>
    <row r="124" spans="2:13" ht="30" customHeight="1" thickBot="1" x14ac:dyDescent="0.4">
      <c r="B124" s="75"/>
      <c r="C124" s="76" t="s">
        <v>20</v>
      </c>
      <c r="D124" s="76" t="s">
        <v>21</v>
      </c>
      <c r="E124" s="76" t="s">
        <v>22</v>
      </c>
      <c r="F124" s="77" t="s">
        <v>23</v>
      </c>
      <c r="L124" s="24"/>
      <c r="M124" s="24"/>
    </row>
    <row r="125" spans="2:13" ht="16.5" customHeight="1" x14ac:dyDescent="0.35">
      <c r="B125" s="134"/>
      <c r="C125" s="123" t="s">
        <v>114</v>
      </c>
      <c r="D125" s="78">
        <v>10</v>
      </c>
      <c r="E125" s="79" t="s">
        <v>28</v>
      </c>
      <c r="F125" s="80"/>
      <c r="J125" s="26"/>
      <c r="K125" s="24"/>
    </row>
    <row r="126" spans="2:13" ht="16.5" customHeight="1" thickBot="1" x14ac:dyDescent="0.4">
      <c r="B126" s="135"/>
      <c r="C126" s="88" t="s">
        <v>55</v>
      </c>
      <c r="D126" s="89">
        <v>570</v>
      </c>
      <c r="E126" s="90" t="s">
        <v>38</v>
      </c>
      <c r="F126" s="91"/>
      <c r="L126" s="24"/>
    </row>
    <row r="127" spans="2:13" ht="16.5" customHeight="1" x14ac:dyDescent="0.35">
      <c r="B127" s="93" t="s">
        <v>120</v>
      </c>
      <c r="C127" s="97" t="s">
        <v>121</v>
      </c>
      <c r="D127" s="101" t="s">
        <v>232</v>
      </c>
      <c r="E127" s="101" t="s">
        <v>38</v>
      </c>
      <c r="F127" s="98">
        <v>1</v>
      </c>
      <c r="M127" s="24"/>
    </row>
    <row r="128" spans="2:13" ht="16.5" customHeight="1" thickBot="1" x14ac:dyDescent="0.4">
      <c r="B128" s="94" t="s">
        <v>122</v>
      </c>
      <c r="C128" s="95" t="s">
        <v>123</v>
      </c>
      <c r="D128" s="102" t="s">
        <v>233</v>
      </c>
      <c r="E128" s="102" t="s">
        <v>28</v>
      </c>
      <c r="F128" s="96">
        <v>2</v>
      </c>
    </row>
    <row r="129" spans="2:13" ht="16.5" customHeight="1" thickBot="1" x14ac:dyDescent="0.4">
      <c r="E129" s="83" t="s">
        <v>35</v>
      </c>
      <c r="F129" s="84">
        <f>SUM(F127:F128)</f>
        <v>3</v>
      </c>
      <c r="L129" s="24"/>
      <c r="M129" s="24"/>
    </row>
    <row r="130" spans="2:13" ht="16.5" customHeight="1" x14ac:dyDescent="0.35">
      <c r="L130" s="38"/>
      <c r="M130" s="24"/>
    </row>
    <row r="131" spans="2:13" ht="16.5" customHeight="1" x14ac:dyDescent="0.35">
      <c r="B131" s="85"/>
      <c r="C131" s="86"/>
      <c r="D131" s="86"/>
      <c r="E131" s="86"/>
      <c r="F131" s="87"/>
      <c r="L131" s="24"/>
      <c r="M131" s="24"/>
    </row>
    <row r="132" spans="2:13" ht="16.5" customHeight="1" thickBot="1" x14ac:dyDescent="0.4">
      <c r="L132" s="24"/>
      <c r="M132" s="24"/>
    </row>
    <row r="133" spans="2:13" ht="19.5" customHeight="1" thickBot="1" x14ac:dyDescent="0.4">
      <c r="B133" s="131" t="s">
        <v>124</v>
      </c>
      <c r="C133" s="132"/>
      <c r="D133" s="132"/>
      <c r="E133" s="132"/>
      <c r="F133" s="133"/>
      <c r="J133" s="26"/>
      <c r="K133" s="24"/>
    </row>
    <row r="134" spans="2:13" ht="30" customHeight="1" thickBot="1" x14ac:dyDescent="0.4">
      <c r="B134" s="75"/>
      <c r="C134" s="76" t="s">
        <v>20</v>
      </c>
      <c r="D134" s="76" t="s">
        <v>21</v>
      </c>
      <c r="E134" s="76" t="s">
        <v>22</v>
      </c>
      <c r="F134" s="77" t="s">
        <v>23</v>
      </c>
      <c r="J134" s="26"/>
      <c r="K134" s="24"/>
    </row>
    <row r="135" spans="2:13" ht="16.5" customHeight="1" x14ac:dyDescent="0.35">
      <c r="B135" s="134"/>
      <c r="C135" s="123" t="s">
        <v>114</v>
      </c>
      <c r="D135" s="78">
        <v>50</v>
      </c>
      <c r="E135" s="79" t="s">
        <v>28</v>
      </c>
      <c r="F135" s="80"/>
      <c r="J135" s="26"/>
      <c r="K135" s="24"/>
    </row>
    <row r="136" spans="2:13" ht="16.5" customHeight="1" thickBot="1" x14ac:dyDescent="0.4">
      <c r="B136" s="135"/>
      <c r="C136" s="88" t="s">
        <v>55</v>
      </c>
      <c r="D136" s="89">
        <v>150</v>
      </c>
      <c r="E136" s="90" t="s">
        <v>38</v>
      </c>
      <c r="F136" s="91"/>
      <c r="L136" s="24"/>
    </row>
    <row r="137" spans="2:13" ht="16.5" customHeight="1" x14ac:dyDescent="0.35">
      <c r="B137" s="93" t="s">
        <v>125</v>
      </c>
      <c r="C137" s="97" t="s">
        <v>126</v>
      </c>
      <c r="D137" s="101" t="s">
        <v>234</v>
      </c>
      <c r="E137" s="101" t="s">
        <v>28</v>
      </c>
      <c r="F137" s="98">
        <v>2</v>
      </c>
      <c r="M137" s="24"/>
    </row>
    <row r="138" spans="2:13" ht="16.5" customHeight="1" thickBot="1" x14ac:dyDescent="0.4">
      <c r="B138" s="94" t="s">
        <v>127</v>
      </c>
      <c r="C138" s="95" t="s">
        <v>128</v>
      </c>
      <c r="D138" s="102" t="s">
        <v>235</v>
      </c>
      <c r="E138" s="102" t="s">
        <v>38</v>
      </c>
      <c r="F138" s="96">
        <v>2</v>
      </c>
    </row>
    <row r="139" spans="2:13" ht="16.5" customHeight="1" thickBot="1" x14ac:dyDescent="0.4">
      <c r="E139" s="83" t="s">
        <v>35</v>
      </c>
      <c r="F139" s="84">
        <f>SUM(F137:F138)</f>
        <v>4</v>
      </c>
      <c r="L139" s="24"/>
      <c r="M139" s="24"/>
    </row>
    <row r="140" spans="2:13" ht="16.5" customHeight="1" x14ac:dyDescent="0.35">
      <c r="L140" s="38"/>
      <c r="M140" s="24"/>
    </row>
    <row r="141" spans="2:13" ht="16.5" customHeight="1" x14ac:dyDescent="0.35">
      <c r="B141" s="85"/>
      <c r="C141" s="86"/>
      <c r="D141" s="86"/>
      <c r="E141" s="86"/>
      <c r="F141" s="87"/>
      <c r="L141" s="24"/>
      <c r="M141" s="24"/>
    </row>
    <row r="142" spans="2:13" ht="16.5" customHeight="1" thickBot="1" x14ac:dyDescent="0.4">
      <c r="L142" s="24"/>
      <c r="M142" s="24"/>
    </row>
    <row r="143" spans="2:13" ht="19.5" customHeight="1" thickBot="1" x14ac:dyDescent="0.4">
      <c r="B143" s="131" t="s">
        <v>129</v>
      </c>
      <c r="C143" s="132"/>
      <c r="D143" s="132"/>
      <c r="E143" s="132"/>
      <c r="F143" s="133"/>
      <c r="J143" s="26"/>
      <c r="K143" s="24"/>
    </row>
    <row r="144" spans="2:13" ht="30" customHeight="1" thickBot="1" x14ac:dyDescent="0.4">
      <c r="B144" s="75"/>
      <c r="C144" s="76" t="s">
        <v>20</v>
      </c>
      <c r="D144" s="76" t="s">
        <v>21</v>
      </c>
      <c r="E144" s="76" t="s">
        <v>22</v>
      </c>
      <c r="F144" s="77" t="s">
        <v>23</v>
      </c>
      <c r="J144" s="26"/>
      <c r="K144" s="24"/>
    </row>
    <row r="145" spans="2:13" ht="16.5" customHeight="1" x14ac:dyDescent="0.35">
      <c r="B145" s="129"/>
      <c r="C145" s="123" t="s">
        <v>114</v>
      </c>
      <c r="D145" s="78">
        <v>20</v>
      </c>
      <c r="E145" s="79" t="s">
        <v>28</v>
      </c>
      <c r="F145" s="80"/>
      <c r="J145" s="26"/>
      <c r="K145" s="24"/>
    </row>
    <row r="146" spans="2:13" ht="16.5" customHeight="1" x14ac:dyDescent="0.35">
      <c r="B146" s="135"/>
      <c r="C146" s="88" t="s">
        <v>113</v>
      </c>
      <c r="D146" s="89">
        <v>6</v>
      </c>
      <c r="E146" s="90" t="s">
        <v>36</v>
      </c>
      <c r="F146" s="91"/>
      <c r="L146" s="24"/>
    </row>
    <row r="147" spans="2:13" ht="16.5" customHeight="1" thickBot="1" x14ac:dyDescent="0.4">
      <c r="B147" s="130"/>
      <c r="C147" s="128" t="s">
        <v>55</v>
      </c>
      <c r="D147" s="112">
        <v>718</v>
      </c>
      <c r="E147" s="113" t="s">
        <v>38</v>
      </c>
      <c r="F147" s="114"/>
      <c r="L147" s="24"/>
    </row>
    <row r="148" spans="2:13" ht="16.5" customHeight="1" x14ac:dyDescent="0.35">
      <c r="B148" s="109" t="s">
        <v>130</v>
      </c>
      <c r="C148" s="111" t="s">
        <v>131</v>
      </c>
      <c r="D148" s="104" t="s">
        <v>237</v>
      </c>
      <c r="E148" s="104" t="s">
        <v>36</v>
      </c>
      <c r="F148" s="110">
        <v>2</v>
      </c>
      <c r="M148" s="24"/>
    </row>
    <row r="149" spans="2:13" ht="16.5" customHeight="1" thickBot="1" x14ac:dyDescent="0.4">
      <c r="B149" s="94" t="s">
        <v>132</v>
      </c>
      <c r="C149" s="95" t="s">
        <v>133</v>
      </c>
      <c r="D149" s="102" t="s">
        <v>236</v>
      </c>
      <c r="E149" s="102" t="s">
        <v>38</v>
      </c>
      <c r="F149" s="96">
        <v>2</v>
      </c>
    </row>
    <row r="150" spans="2:13" ht="16.5" customHeight="1" thickBot="1" x14ac:dyDescent="0.4">
      <c r="E150" s="83" t="s">
        <v>35</v>
      </c>
      <c r="F150" s="84">
        <f>SUM(F148:F149)</f>
        <v>4</v>
      </c>
      <c r="L150" s="24"/>
      <c r="M150" s="24"/>
    </row>
    <row r="151" spans="2:13" ht="16.5" customHeight="1" x14ac:dyDescent="0.35">
      <c r="E151" s="105"/>
      <c r="F151" s="74"/>
      <c r="L151" s="38"/>
      <c r="M151" s="24"/>
    </row>
    <row r="152" spans="2:13" ht="16.5" customHeight="1" x14ac:dyDescent="0.35">
      <c r="B152" s="85"/>
      <c r="C152" s="86"/>
      <c r="D152" s="86"/>
      <c r="E152" s="86"/>
      <c r="F152" s="87"/>
      <c r="G152" s="24"/>
      <c r="H152" s="35"/>
      <c r="J152" s="26"/>
    </row>
    <row r="153" spans="2:13" ht="16.5" customHeight="1" thickBot="1" x14ac:dyDescent="0.4">
      <c r="L153" s="38"/>
      <c r="M153" s="24"/>
    </row>
    <row r="154" spans="2:13" ht="19.5" customHeight="1" thickBot="1" x14ac:dyDescent="0.4">
      <c r="B154" s="131" t="s">
        <v>134</v>
      </c>
      <c r="C154" s="132"/>
      <c r="D154" s="132"/>
      <c r="E154" s="132"/>
      <c r="F154" s="133"/>
      <c r="L154" s="24"/>
      <c r="M154" s="24"/>
    </row>
    <row r="155" spans="2:13" ht="30" customHeight="1" thickBot="1" x14ac:dyDescent="0.4">
      <c r="B155" s="75"/>
      <c r="C155" s="76" t="s">
        <v>20</v>
      </c>
      <c r="D155" s="76" t="s">
        <v>21</v>
      </c>
      <c r="E155" s="76" t="s">
        <v>22</v>
      </c>
      <c r="F155" s="77" t="s">
        <v>23</v>
      </c>
      <c r="L155" s="24"/>
      <c r="M155" s="24"/>
    </row>
    <row r="156" spans="2:13" ht="16.5" customHeight="1" x14ac:dyDescent="0.35">
      <c r="B156" s="129"/>
      <c r="C156" s="123" t="s">
        <v>135</v>
      </c>
      <c r="D156" s="78">
        <v>22</v>
      </c>
      <c r="E156" s="79" t="s">
        <v>15</v>
      </c>
      <c r="F156" s="80"/>
      <c r="J156" s="26"/>
      <c r="K156" s="24"/>
    </row>
    <row r="157" spans="2:13" ht="16.5" customHeight="1" thickBot="1" x14ac:dyDescent="0.4">
      <c r="B157" s="130"/>
      <c r="C157" s="88" t="s">
        <v>136</v>
      </c>
      <c r="D157" s="89">
        <v>15</v>
      </c>
      <c r="E157" s="100" t="s">
        <v>59</v>
      </c>
      <c r="F157" s="91"/>
      <c r="L157" s="24"/>
    </row>
    <row r="158" spans="2:13" ht="16.5" customHeight="1" thickBot="1" x14ac:dyDescent="0.4">
      <c r="B158" s="92" t="s">
        <v>137</v>
      </c>
      <c r="C158" s="81" t="s">
        <v>126</v>
      </c>
      <c r="D158" s="103" t="s">
        <v>238</v>
      </c>
      <c r="E158" s="103" t="s">
        <v>28</v>
      </c>
      <c r="F158" s="82">
        <v>2</v>
      </c>
      <c r="M158" s="24"/>
    </row>
    <row r="159" spans="2:13" ht="16.5" customHeight="1" thickBot="1" x14ac:dyDescent="0.4">
      <c r="E159" s="83" t="s">
        <v>35</v>
      </c>
      <c r="F159" s="84">
        <f>SUM(F158)</f>
        <v>2</v>
      </c>
      <c r="M159" s="24"/>
    </row>
    <row r="160" spans="2:13" ht="16.5" customHeight="1" x14ac:dyDescent="0.35">
      <c r="L160" s="24"/>
      <c r="M160" s="24"/>
    </row>
    <row r="161" spans="2:13" ht="16.5" customHeight="1" x14ac:dyDescent="0.35">
      <c r="B161" s="85"/>
      <c r="C161" s="86"/>
      <c r="D161" s="86"/>
      <c r="E161" s="86"/>
      <c r="F161" s="87"/>
      <c r="L161" s="38"/>
      <c r="M161" s="24"/>
    </row>
    <row r="162" spans="2:13" ht="16.5" customHeight="1" thickBot="1" x14ac:dyDescent="0.4">
      <c r="B162" s="106"/>
      <c r="C162" s="107"/>
      <c r="D162" s="107"/>
      <c r="E162" s="107"/>
      <c r="F162" s="108"/>
      <c r="L162" s="24"/>
      <c r="M162" s="24"/>
    </row>
    <row r="163" spans="2:13" ht="19.5" customHeight="1" thickBot="1" x14ac:dyDescent="0.4">
      <c r="B163" s="131" t="s">
        <v>138</v>
      </c>
      <c r="C163" s="132"/>
      <c r="D163" s="132"/>
      <c r="E163" s="132"/>
      <c r="F163" s="133"/>
      <c r="L163" s="24"/>
      <c r="M163" s="24"/>
    </row>
    <row r="164" spans="2:13" ht="30" customHeight="1" thickBot="1" x14ac:dyDescent="0.4">
      <c r="B164" s="75"/>
      <c r="C164" s="76" t="s">
        <v>20</v>
      </c>
      <c r="D164" s="76" t="s">
        <v>21</v>
      </c>
      <c r="E164" s="76" t="s">
        <v>22</v>
      </c>
      <c r="F164" s="77" t="s">
        <v>23</v>
      </c>
      <c r="J164" s="26"/>
      <c r="K164" s="24"/>
    </row>
    <row r="165" spans="2:13" ht="16.5" customHeight="1" x14ac:dyDescent="0.35">
      <c r="B165" s="129"/>
      <c r="C165" s="123" t="s">
        <v>139</v>
      </c>
      <c r="D165" s="78">
        <v>4</v>
      </c>
      <c r="E165" s="79" t="s">
        <v>28</v>
      </c>
      <c r="F165" s="80"/>
      <c r="J165" s="26"/>
      <c r="K165" s="24"/>
    </row>
    <row r="166" spans="2:13" ht="16.5" customHeight="1" thickBot="1" x14ac:dyDescent="0.4">
      <c r="B166" s="130"/>
      <c r="C166" s="88" t="s">
        <v>55</v>
      </c>
      <c r="D166" s="89">
        <v>9</v>
      </c>
      <c r="E166" s="100" t="s">
        <v>12</v>
      </c>
      <c r="F166" s="91"/>
      <c r="L166" s="24"/>
    </row>
    <row r="167" spans="2:13" ht="16.5" customHeight="1" thickBot="1" x14ac:dyDescent="0.4">
      <c r="B167" s="92" t="s">
        <v>140</v>
      </c>
      <c r="C167" s="81" t="s">
        <v>141</v>
      </c>
      <c r="D167" s="103" t="s">
        <v>239</v>
      </c>
      <c r="E167" s="103" t="s">
        <v>28</v>
      </c>
      <c r="F167" s="82">
        <v>2</v>
      </c>
      <c r="M167" s="24"/>
    </row>
    <row r="168" spans="2:13" ht="16.5" customHeight="1" thickBot="1" x14ac:dyDescent="0.4">
      <c r="E168" s="83" t="s">
        <v>35</v>
      </c>
      <c r="F168" s="84">
        <f>SUM(F167)</f>
        <v>2</v>
      </c>
    </row>
    <row r="169" spans="2:13" ht="16.5" customHeight="1" x14ac:dyDescent="0.35">
      <c r="L169" s="24"/>
      <c r="M169" s="24"/>
    </row>
    <row r="170" spans="2:13" ht="16.5" customHeight="1" x14ac:dyDescent="0.35">
      <c r="B170" s="85"/>
      <c r="C170" s="86"/>
      <c r="D170" s="86"/>
      <c r="E170" s="86"/>
      <c r="F170" s="87"/>
      <c r="L170" s="38"/>
      <c r="M170" s="24"/>
    </row>
    <row r="171" spans="2:13" ht="16.5" customHeight="1" thickBot="1" x14ac:dyDescent="0.4">
      <c r="B171" s="106"/>
      <c r="C171" s="107"/>
      <c r="D171" s="107"/>
      <c r="E171" s="107"/>
      <c r="F171" s="108"/>
      <c r="G171" s="24"/>
      <c r="H171" s="24"/>
    </row>
    <row r="172" spans="2:13" ht="19.5" customHeight="1" thickBot="1" x14ac:dyDescent="0.4">
      <c r="B172" s="131" t="s">
        <v>142</v>
      </c>
      <c r="C172" s="132"/>
      <c r="D172" s="132"/>
      <c r="E172" s="132"/>
      <c r="F172" s="133"/>
      <c r="G172" s="24"/>
      <c r="H172" s="24"/>
    </row>
    <row r="173" spans="2:13" ht="30" customHeight="1" thickBot="1" x14ac:dyDescent="0.4">
      <c r="B173" s="75"/>
      <c r="C173" s="76" t="s">
        <v>20</v>
      </c>
      <c r="D173" s="76" t="s">
        <v>21</v>
      </c>
      <c r="E173" s="76" t="s">
        <v>22</v>
      </c>
      <c r="F173" s="77" t="s">
        <v>23</v>
      </c>
    </row>
    <row r="174" spans="2:13" ht="16.5" customHeight="1" x14ac:dyDescent="0.35">
      <c r="B174" s="129"/>
      <c r="C174" s="123" t="s">
        <v>55</v>
      </c>
      <c r="D174" s="78">
        <v>10</v>
      </c>
      <c r="E174" s="79" t="s">
        <v>12</v>
      </c>
      <c r="F174" s="80"/>
    </row>
    <row r="175" spans="2:13" ht="16.5" customHeight="1" thickBot="1" x14ac:dyDescent="0.4">
      <c r="B175" s="130"/>
      <c r="C175" s="88" t="s">
        <v>143</v>
      </c>
      <c r="D175" s="89">
        <v>12</v>
      </c>
      <c r="E175" s="100" t="s">
        <v>28</v>
      </c>
      <c r="F175" s="91"/>
      <c r="G175" s="24"/>
    </row>
    <row r="176" spans="2:13" ht="16.5" customHeight="1" thickBot="1" x14ac:dyDescent="0.4">
      <c r="B176" s="92" t="s">
        <v>144</v>
      </c>
      <c r="C176" s="81" t="s">
        <v>84</v>
      </c>
      <c r="D176" s="103"/>
      <c r="E176" s="103"/>
      <c r="F176" s="82">
        <v>2</v>
      </c>
      <c r="G176" s="24"/>
    </row>
    <row r="177" spans="2:8" ht="16.5" customHeight="1" thickBot="1" x14ac:dyDescent="0.4">
      <c r="E177" s="83" t="s">
        <v>35</v>
      </c>
      <c r="F177" s="84">
        <f>SUM(F176)</f>
        <v>2</v>
      </c>
      <c r="H177" s="24"/>
    </row>
    <row r="178" spans="2:8" ht="16.5" customHeight="1" x14ac:dyDescent="0.35"/>
    <row r="179" spans="2:8" ht="16.5" customHeight="1" x14ac:dyDescent="0.35">
      <c r="B179" s="85"/>
      <c r="C179" s="86"/>
      <c r="D179" s="86"/>
      <c r="E179" s="86"/>
      <c r="F179" s="87"/>
    </row>
    <row r="180" spans="2:8" ht="16.5" customHeight="1" thickBot="1" x14ac:dyDescent="0.4"/>
    <row r="181" spans="2:8" ht="19.5" customHeight="1" thickBot="1" x14ac:dyDescent="0.4">
      <c r="B181" s="131" t="s">
        <v>145</v>
      </c>
      <c r="C181" s="132"/>
      <c r="D181" s="132"/>
      <c r="E181" s="132"/>
      <c r="F181" s="133"/>
    </row>
    <row r="182" spans="2:8" ht="30" customHeight="1" thickBot="1" x14ac:dyDescent="0.4">
      <c r="B182" s="75"/>
      <c r="C182" s="76" t="s">
        <v>20</v>
      </c>
      <c r="D182" s="76" t="s">
        <v>21</v>
      </c>
      <c r="E182" s="76" t="s">
        <v>22</v>
      </c>
      <c r="F182" s="77" t="s">
        <v>23</v>
      </c>
    </row>
    <row r="183" spans="2:8" ht="16.5" customHeight="1" x14ac:dyDescent="0.35">
      <c r="B183" s="129"/>
      <c r="C183" s="123" t="s">
        <v>84</v>
      </c>
      <c r="D183" s="78">
        <v>6</v>
      </c>
      <c r="E183" s="79" t="s">
        <v>28</v>
      </c>
      <c r="F183" s="80"/>
    </row>
    <row r="184" spans="2:8" ht="16.5" customHeight="1" thickBot="1" x14ac:dyDescent="0.4">
      <c r="B184" s="130"/>
      <c r="C184" s="88" t="s">
        <v>55</v>
      </c>
      <c r="D184" s="89">
        <v>10</v>
      </c>
      <c r="E184" s="100" t="s">
        <v>12</v>
      </c>
      <c r="F184" s="91"/>
    </row>
    <row r="185" spans="2:8" ht="16.5" customHeight="1" thickBot="1" x14ac:dyDescent="0.4">
      <c r="B185" s="92" t="s">
        <v>146</v>
      </c>
      <c r="C185" s="81" t="s">
        <v>141</v>
      </c>
      <c r="D185" s="103"/>
      <c r="E185" s="103"/>
      <c r="F185" s="82">
        <v>2</v>
      </c>
    </row>
    <row r="186" spans="2:8" ht="16.5" customHeight="1" thickBot="1" x14ac:dyDescent="0.4">
      <c r="E186" s="83" t="s">
        <v>35</v>
      </c>
      <c r="F186" s="84">
        <f>SUM(F185)</f>
        <v>2</v>
      </c>
    </row>
    <row r="187" spans="2:8" ht="16.5" customHeight="1" x14ac:dyDescent="0.35"/>
    <row r="188" spans="2:8" ht="16.5" customHeight="1" x14ac:dyDescent="0.35">
      <c r="B188" s="85"/>
      <c r="C188" s="86"/>
      <c r="D188" s="86"/>
      <c r="E188" s="86"/>
      <c r="F188" s="87"/>
    </row>
    <row r="189" spans="2:8" ht="16.5" customHeight="1" thickBot="1" x14ac:dyDescent="0.4"/>
    <row r="190" spans="2:8" ht="19.5" customHeight="1" thickBot="1" x14ac:dyDescent="0.4">
      <c r="B190" s="131" t="s">
        <v>147</v>
      </c>
      <c r="C190" s="132"/>
      <c r="D190" s="132"/>
      <c r="E190" s="132"/>
      <c r="F190" s="133"/>
    </row>
    <row r="191" spans="2:8" ht="30" customHeight="1" thickBot="1" x14ac:dyDescent="0.4">
      <c r="B191" s="75"/>
      <c r="C191" s="76" t="s">
        <v>20</v>
      </c>
      <c r="D191" s="76" t="s">
        <v>21</v>
      </c>
      <c r="E191" s="76" t="s">
        <v>22</v>
      </c>
      <c r="F191" s="77" t="s">
        <v>23</v>
      </c>
    </row>
    <row r="192" spans="2:8" ht="16.5" customHeight="1" x14ac:dyDescent="0.35">
      <c r="B192" s="129"/>
      <c r="C192" s="123" t="s">
        <v>84</v>
      </c>
      <c r="D192" s="78">
        <v>10</v>
      </c>
      <c r="E192" s="79" t="s">
        <v>28</v>
      </c>
      <c r="F192" s="80"/>
    </row>
    <row r="193" spans="2:6" ht="16.5" customHeight="1" thickBot="1" x14ac:dyDescent="0.4">
      <c r="B193" s="130"/>
      <c r="C193" s="88" t="s">
        <v>141</v>
      </c>
      <c r="D193" s="89">
        <v>6</v>
      </c>
      <c r="E193" s="100" t="s">
        <v>28</v>
      </c>
      <c r="F193" s="91"/>
    </row>
    <row r="194" spans="2:6" ht="16.5" customHeight="1" thickBot="1" x14ac:dyDescent="0.4">
      <c r="B194" s="92" t="s">
        <v>148</v>
      </c>
      <c r="C194" s="81" t="s">
        <v>55</v>
      </c>
      <c r="D194" s="103"/>
      <c r="E194" s="103"/>
      <c r="F194" s="82">
        <v>2</v>
      </c>
    </row>
    <row r="195" spans="2:6" ht="16.5" customHeight="1" thickBot="1" x14ac:dyDescent="0.4">
      <c r="E195" s="83" t="s">
        <v>35</v>
      </c>
      <c r="F195" s="84">
        <f>SUM(F194)</f>
        <v>2</v>
      </c>
    </row>
    <row r="196" spans="2:6" ht="16.5" customHeight="1" x14ac:dyDescent="0.35"/>
    <row r="197" spans="2:6" ht="16.5" customHeight="1" x14ac:dyDescent="0.35">
      <c r="B197" s="85"/>
      <c r="C197" s="86"/>
      <c r="D197" s="86"/>
      <c r="E197" s="86"/>
      <c r="F197" s="87"/>
    </row>
    <row r="198" spans="2:6" ht="16.5" customHeight="1" thickBot="1" x14ac:dyDescent="0.4"/>
    <row r="199" spans="2:6" ht="19.5" customHeight="1" thickBot="1" x14ac:dyDescent="0.4">
      <c r="B199" s="131" t="s">
        <v>149</v>
      </c>
      <c r="C199" s="132"/>
      <c r="D199" s="132"/>
      <c r="E199" s="132"/>
      <c r="F199" s="133"/>
    </row>
    <row r="200" spans="2:6" ht="30" customHeight="1" thickBot="1" x14ac:dyDescent="0.4">
      <c r="B200" s="75"/>
      <c r="C200" s="76" t="s">
        <v>20</v>
      </c>
      <c r="D200" s="76" t="s">
        <v>21</v>
      </c>
      <c r="E200" s="76" t="s">
        <v>22</v>
      </c>
      <c r="F200" s="77" t="s">
        <v>23</v>
      </c>
    </row>
    <row r="201" spans="2:6" ht="16.5" customHeight="1" x14ac:dyDescent="0.35">
      <c r="B201" s="129"/>
      <c r="C201" s="123" t="s">
        <v>84</v>
      </c>
      <c r="D201" s="78">
        <v>22</v>
      </c>
      <c r="E201" s="79" t="s">
        <v>28</v>
      </c>
      <c r="F201" s="80"/>
    </row>
    <row r="202" spans="2:6" ht="16.5" customHeight="1" x14ac:dyDescent="0.35">
      <c r="B202" s="135"/>
      <c r="C202" s="88" t="s">
        <v>150</v>
      </c>
      <c r="D202" s="89">
        <v>2</v>
      </c>
      <c r="E202" s="90" t="s">
        <v>28</v>
      </c>
      <c r="F202" s="91"/>
    </row>
    <row r="203" spans="2:6" ht="16.5" customHeight="1" thickBot="1" x14ac:dyDescent="0.4">
      <c r="B203" s="130"/>
      <c r="C203" s="128" t="s">
        <v>55</v>
      </c>
      <c r="D203" s="112">
        <v>10</v>
      </c>
      <c r="E203" s="113" t="s">
        <v>12</v>
      </c>
      <c r="F203" s="114"/>
    </row>
    <row r="204" spans="2:6" ht="16.5" customHeight="1" thickBot="1" x14ac:dyDescent="0.4">
      <c r="B204" s="92" t="s">
        <v>151</v>
      </c>
      <c r="C204" s="81" t="s">
        <v>135</v>
      </c>
      <c r="D204" s="103"/>
      <c r="E204" s="103"/>
      <c r="F204" s="82">
        <v>2</v>
      </c>
    </row>
    <row r="205" spans="2:6" ht="16.5" customHeight="1" thickBot="1" x14ac:dyDescent="0.4">
      <c r="E205" s="83" t="s">
        <v>35</v>
      </c>
      <c r="F205" s="84">
        <f>SUM(F204)</f>
        <v>2</v>
      </c>
    </row>
    <row r="206" spans="2:6" ht="16.5" customHeight="1" x14ac:dyDescent="0.35"/>
    <row r="207" spans="2:6" ht="16.5" customHeight="1" x14ac:dyDescent="0.35">
      <c r="B207" s="85"/>
      <c r="C207" s="86"/>
      <c r="D207" s="86"/>
      <c r="E207" s="86"/>
      <c r="F207" s="87"/>
    </row>
    <row r="208" spans="2:6" ht="16.5" customHeight="1" thickBot="1" x14ac:dyDescent="0.4"/>
    <row r="209" spans="2:13" ht="19.5" customHeight="1" thickBot="1" x14ac:dyDescent="0.4">
      <c r="B209" s="131" t="s">
        <v>152</v>
      </c>
      <c r="C209" s="132"/>
      <c r="D209" s="132"/>
      <c r="E209" s="132"/>
      <c r="F209" s="133"/>
    </row>
    <row r="210" spans="2:13" ht="30" customHeight="1" thickBot="1" x14ac:dyDescent="0.4">
      <c r="B210" s="75"/>
      <c r="C210" s="76" t="s">
        <v>20</v>
      </c>
      <c r="D210" s="76" t="s">
        <v>21</v>
      </c>
      <c r="E210" s="76" t="s">
        <v>22</v>
      </c>
      <c r="F210" s="77" t="s">
        <v>23</v>
      </c>
    </row>
    <row r="211" spans="2:13" ht="16.5" customHeight="1" x14ac:dyDescent="0.35">
      <c r="B211" s="134"/>
      <c r="C211" s="123" t="s">
        <v>84</v>
      </c>
      <c r="D211" s="78">
        <v>22</v>
      </c>
      <c r="E211" s="79" t="s">
        <v>28</v>
      </c>
      <c r="F211" s="80"/>
    </row>
    <row r="212" spans="2:13" ht="16.5" customHeight="1" thickBot="1" x14ac:dyDescent="0.4">
      <c r="B212" s="135"/>
      <c r="C212" s="88" t="s">
        <v>153</v>
      </c>
      <c r="D212" s="89">
        <v>-6</v>
      </c>
      <c r="E212" s="90" t="s">
        <v>28</v>
      </c>
      <c r="F212" s="91"/>
    </row>
    <row r="213" spans="2:13" ht="16.5" customHeight="1" x14ac:dyDescent="0.35">
      <c r="B213" s="93" t="s">
        <v>154</v>
      </c>
      <c r="C213" s="97" t="s">
        <v>55</v>
      </c>
      <c r="D213" s="101"/>
      <c r="E213" s="101"/>
      <c r="F213" s="98">
        <v>2</v>
      </c>
    </row>
    <row r="214" spans="2:13" ht="16.5" customHeight="1" thickBot="1" x14ac:dyDescent="0.4">
      <c r="B214" s="94" t="s">
        <v>155</v>
      </c>
      <c r="C214" s="95" t="s">
        <v>135</v>
      </c>
      <c r="D214" s="102"/>
      <c r="E214" s="102"/>
      <c r="F214" s="96">
        <v>2</v>
      </c>
    </row>
    <row r="215" spans="2:13" ht="16.5" customHeight="1" thickBot="1" x14ac:dyDescent="0.4">
      <c r="E215" s="83" t="s">
        <v>35</v>
      </c>
      <c r="F215" s="84">
        <f>SUM(F213:F214)</f>
        <v>4</v>
      </c>
    </row>
    <row r="216" spans="2:13" ht="16.5" customHeight="1" x14ac:dyDescent="0.35"/>
    <row r="217" spans="2:13" ht="16.5" customHeight="1" x14ac:dyDescent="0.35">
      <c r="B217" s="85"/>
      <c r="C217" s="86"/>
      <c r="D217" s="86"/>
      <c r="E217" s="86"/>
      <c r="F217" s="87"/>
    </row>
    <row r="218" spans="2:13" ht="16.5" customHeight="1" thickBot="1" x14ac:dyDescent="0.4"/>
    <row r="219" spans="2:13" ht="22" customHeight="1" thickBot="1" x14ac:dyDescent="0.4">
      <c r="B219" s="136" t="s">
        <v>156</v>
      </c>
      <c r="C219" s="132"/>
      <c r="D219" s="132"/>
      <c r="E219" s="132"/>
      <c r="F219" s="133"/>
      <c r="L219" s="24"/>
      <c r="M219" s="24"/>
    </row>
    <row r="220" spans="2:13" ht="16.5" customHeight="1" thickBot="1" x14ac:dyDescent="0.4">
      <c r="B220" s="99"/>
      <c r="C220" s="99"/>
      <c r="D220" s="99"/>
      <c r="E220" s="99"/>
      <c r="F220" s="99"/>
      <c r="L220" s="24"/>
      <c r="M220" s="24"/>
    </row>
    <row r="221" spans="2:13" ht="19.5" customHeight="1" thickBot="1" x14ac:dyDescent="0.4">
      <c r="B221" s="131" t="s">
        <v>157</v>
      </c>
      <c r="C221" s="132"/>
      <c r="D221" s="132"/>
      <c r="E221" s="132"/>
      <c r="F221" s="133"/>
      <c r="J221" s="26"/>
      <c r="K221" s="24"/>
    </row>
    <row r="222" spans="2:13" ht="30" customHeight="1" thickBot="1" x14ac:dyDescent="0.4">
      <c r="B222" s="75"/>
      <c r="C222" s="76" t="s">
        <v>20</v>
      </c>
      <c r="D222" s="76" t="s">
        <v>21</v>
      </c>
      <c r="E222" s="76" t="s">
        <v>22</v>
      </c>
      <c r="F222" s="77" t="s">
        <v>23</v>
      </c>
      <c r="J222" s="26"/>
      <c r="K222" s="24"/>
    </row>
    <row r="223" spans="2:13" ht="16.5" customHeight="1" x14ac:dyDescent="0.35">
      <c r="B223" s="129"/>
      <c r="C223" s="123" t="s">
        <v>56</v>
      </c>
      <c r="D223" s="78">
        <v>3</v>
      </c>
      <c r="E223" s="79" t="s">
        <v>47</v>
      </c>
      <c r="F223" s="80"/>
      <c r="J223" s="26"/>
      <c r="K223" s="24"/>
    </row>
    <row r="224" spans="2:13" ht="16.5" customHeight="1" thickBot="1" x14ac:dyDescent="0.4">
      <c r="B224" s="130"/>
      <c r="C224" s="118" t="s">
        <v>158</v>
      </c>
      <c r="D224" s="119">
        <v>20</v>
      </c>
      <c r="E224" s="120" t="s">
        <v>50</v>
      </c>
      <c r="F224" s="121"/>
      <c r="L224" s="24"/>
    </row>
    <row r="225" spans="2:13" ht="16.5" customHeight="1" x14ac:dyDescent="0.35">
      <c r="B225" s="109" t="s">
        <v>159</v>
      </c>
      <c r="C225" s="111" t="s">
        <v>160</v>
      </c>
      <c r="D225" s="104" t="s">
        <v>240</v>
      </c>
      <c r="E225" s="104" t="s">
        <v>66</v>
      </c>
      <c r="F225" s="110">
        <v>2</v>
      </c>
      <c r="L225" s="24"/>
    </row>
    <row r="226" spans="2:13" ht="16.5" customHeight="1" thickBot="1" x14ac:dyDescent="0.4">
      <c r="B226" s="94" t="s">
        <v>161</v>
      </c>
      <c r="C226" s="95" t="s">
        <v>162</v>
      </c>
      <c r="D226" s="102" t="s">
        <v>226</v>
      </c>
      <c r="E226" s="102" t="s">
        <v>36</v>
      </c>
      <c r="F226" s="96">
        <v>1</v>
      </c>
      <c r="M226" s="24"/>
    </row>
    <row r="227" spans="2:13" ht="16.5" customHeight="1" thickBot="1" x14ac:dyDescent="0.4">
      <c r="E227" s="83" t="s">
        <v>35</v>
      </c>
      <c r="F227" s="84">
        <f>SUM(F225:F226)</f>
        <v>3</v>
      </c>
    </row>
    <row r="228" spans="2:13" ht="16.5" customHeight="1" x14ac:dyDescent="0.35">
      <c r="L228" s="24"/>
      <c r="M228" s="24"/>
    </row>
    <row r="229" spans="2:13" ht="16.5" customHeight="1" x14ac:dyDescent="0.35">
      <c r="B229" s="85"/>
      <c r="C229" s="86"/>
      <c r="D229" s="86"/>
      <c r="E229" s="86"/>
      <c r="F229" s="87"/>
      <c r="L229" s="38"/>
      <c r="M229" s="24"/>
    </row>
    <row r="230" spans="2:13" ht="16.5" customHeight="1" thickBot="1" x14ac:dyDescent="0.4">
      <c r="G230" s="24"/>
      <c r="H230" s="35"/>
      <c r="J230" s="26"/>
    </row>
    <row r="231" spans="2:13" ht="19.5" customHeight="1" thickBot="1" x14ac:dyDescent="0.4">
      <c r="B231" s="131" t="s">
        <v>163</v>
      </c>
      <c r="C231" s="132"/>
      <c r="D231" s="132"/>
      <c r="E231" s="132"/>
      <c r="F231" s="133"/>
      <c r="J231" s="26"/>
      <c r="K231" s="24"/>
    </row>
    <row r="232" spans="2:13" ht="30" customHeight="1" thickBot="1" x14ac:dyDescent="0.4">
      <c r="B232" s="75"/>
      <c r="C232" s="76" t="s">
        <v>20</v>
      </c>
      <c r="D232" s="76" t="s">
        <v>21</v>
      </c>
      <c r="E232" s="76" t="s">
        <v>22</v>
      </c>
      <c r="F232" s="77" t="s">
        <v>23</v>
      </c>
      <c r="J232" s="26"/>
      <c r="K232" s="24"/>
    </row>
    <row r="233" spans="2:13" ht="16.5" customHeight="1" thickBot="1" x14ac:dyDescent="0.4">
      <c r="B233" s="58"/>
      <c r="C233" s="124" t="s">
        <v>158</v>
      </c>
      <c r="D233" s="59">
        <v>10</v>
      </c>
      <c r="E233" s="61" t="s">
        <v>50</v>
      </c>
      <c r="F233" s="60"/>
      <c r="J233" s="26"/>
      <c r="K233" s="24"/>
    </row>
    <row r="234" spans="2:13" ht="16.5" customHeight="1" thickBot="1" x14ac:dyDescent="0.4">
      <c r="B234" s="92" t="s">
        <v>164</v>
      </c>
      <c r="C234" s="81" t="s">
        <v>165</v>
      </c>
      <c r="D234" s="103" t="s">
        <v>241</v>
      </c>
      <c r="E234" s="103" t="s">
        <v>50</v>
      </c>
      <c r="F234" s="82">
        <v>2</v>
      </c>
      <c r="L234" s="24"/>
    </row>
    <row r="235" spans="2:13" ht="16.5" customHeight="1" thickBot="1" x14ac:dyDescent="0.4">
      <c r="E235" s="83" t="s">
        <v>35</v>
      </c>
      <c r="F235" s="84">
        <f>SUM(F234:F234)</f>
        <v>2</v>
      </c>
    </row>
    <row r="236" spans="2:13" ht="16.5" customHeight="1" x14ac:dyDescent="0.35">
      <c r="L236" s="24"/>
      <c r="M236" s="24"/>
    </row>
    <row r="237" spans="2:13" ht="16.5" customHeight="1" x14ac:dyDescent="0.35">
      <c r="B237" s="85"/>
      <c r="C237" s="86"/>
      <c r="D237" s="86"/>
      <c r="E237" s="86"/>
      <c r="F237" s="87"/>
      <c r="L237" s="38"/>
      <c r="M237" s="24"/>
    </row>
    <row r="238" spans="2:13" ht="16.5" customHeight="1" thickBot="1" x14ac:dyDescent="0.4"/>
    <row r="239" spans="2:13" ht="19.5" customHeight="1" thickBot="1" x14ac:dyDescent="0.4">
      <c r="B239" s="131" t="s">
        <v>166</v>
      </c>
      <c r="C239" s="132"/>
      <c r="D239" s="132"/>
      <c r="E239" s="132"/>
      <c r="F239" s="133"/>
      <c r="J239" s="26"/>
      <c r="K239" s="24"/>
    </row>
    <row r="240" spans="2:13" ht="30" customHeight="1" thickBot="1" x14ac:dyDescent="0.4">
      <c r="B240" s="75"/>
      <c r="C240" s="76" t="s">
        <v>20</v>
      </c>
      <c r="D240" s="76" t="s">
        <v>21</v>
      </c>
      <c r="E240" s="76" t="s">
        <v>22</v>
      </c>
      <c r="F240" s="77" t="s">
        <v>23</v>
      </c>
      <c r="J240" s="26"/>
      <c r="K240" s="24"/>
    </row>
    <row r="241" spans="2:13" ht="16.5" customHeight="1" x14ac:dyDescent="0.35">
      <c r="B241" s="129"/>
      <c r="C241" s="123" t="s">
        <v>56</v>
      </c>
      <c r="D241" s="78">
        <v>150</v>
      </c>
      <c r="E241" s="79" t="s">
        <v>44</v>
      </c>
      <c r="F241" s="80"/>
      <c r="J241" s="26"/>
      <c r="K241" s="24"/>
    </row>
    <row r="242" spans="2:13" ht="16.5" customHeight="1" thickBot="1" x14ac:dyDescent="0.4">
      <c r="B242" s="130"/>
      <c r="C242" s="118" t="s">
        <v>158</v>
      </c>
      <c r="D242" s="119">
        <v>6</v>
      </c>
      <c r="E242" s="120" t="s">
        <v>50</v>
      </c>
      <c r="F242" s="121"/>
      <c r="L242" s="24"/>
    </row>
    <row r="243" spans="2:13" ht="16.5" customHeight="1" thickBot="1" x14ac:dyDescent="0.4">
      <c r="B243" s="92" t="s">
        <v>167</v>
      </c>
      <c r="C243" s="81" t="s">
        <v>168</v>
      </c>
      <c r="D243" s="103" t="s">
        <v>242</v>
      </c>
      <c r="E243" s="103" t="s">
        <v>36</v>
      </c>
      <c r="F243" s="82">
        <v>2</v>
      </c>
      <c r="L243" s="24"/>
    </row>
    <row r="244" spans="2:13" ht="16.5" customHeight="1" thickBot="1" x14ac:dyDescent="0.4">
      <c r="E244" s="83" t="s">
        <v>35</v>
      </c>
      <c r="F244" s="84">
        <f>SUM(F243:F243)</f>
        <v>2</v>
      </c>
    </row>
    <row r="245" spans="2:13" ht="16.5" customHeight="1" x14ac:dyDescent="0.35">
      <c r="L245" s="24"/>
      <c r="M245" s="24"/>
    </row>
    <row r="246" spans="2:13" ht="16.5" customHeight="1" x14ac:dyDescent="0.35">
      <c r="B246" s="85"/>
      <c r="C246" s="86"/>
      <c r="D246" s="86"/>
      <c r="E246" s="86"/>
      <c r="F246" s="87"/>
      <c r="L246" s="38"/>
      <c r="M246" s="24"/>
    </row>
    <row r="247" spans="2:13" ht="16.5" customHeight="1" thickBot="1" x14ac:dyDescent="0.4"/>
    <row r="248" spans="2:13" ht="19.5" customHeight="1" thickBot="1" x14ac:dyDescent="0.4">
      <c r="B248" s="131" t="s">
        <v>169</v>
      </c>
      <c r="C248" s="132"/>
      <c r="D248" s="132"/>
      <c r="E248" s="132"/>
      <c r="F248" s="133"/>
      <c r="J248" s="26"/>
      <c r="K248" s="24"/>
    </row>
    <row r="249" spans="2:13" ht="30" customHeight="1" thickBot="1" x14ac:dyDescent="0.4">
      <c r="B249" s="75"/>
      <c r="C249" s="76" t="s">
        <v>20</v>
      </c>
      <c r="D249" s="76" t="s">
        <v>21</v>
      </c>
      <c r="E249" s="76" t="s">
        <v>22</v>
      </c>
      <c r="F249" s="77" t="s">
        <v>23</v>
      </c>
      <c r="J249" s="26"/>
      <c r="K249" s="24"/>
    </row>
    <row r="250" spans="2:13" ht="16.5" customHeight="1" x14ac:dyDescent="0.35">
      <c r="B250" s="129"/>
      <c r="C250" s="123" t="s">
        <v>36</v>
      </c>
      <c r="D250" s="78">
        <v>2</v>
      </c>
      <c r="E250" s="116"/>
      <c r="F250" s="80"/>
      <c r="J250" s="26"/>
      <c r="K250" s="24"/>
    </row>
    <row r="251" spans="2:13" ht="16.5" customHeight="1" thickBot="1" x14ac:dyDescent="0.4">
      <c r="B251" s="130"/>
      <c r="C251" s="118" t="s">
        <v>170</v>
      </c>
      <c r="D251" s="119">
        <v>3</v>
      </c>
      <c r="E251" s="122" t="s">
        <v>69</v>
      </c>
      <c r="F251" s="121"/>
      <c r="L251" s="24"/>
    </row>
    <row r="252" spans="2:13" ht="16.5" customHeight="1" x14ac:dyDescent="0.35">
      <c r="B252" s="109" t="s">
        <v>171</v>
      </c>
      <c r="C252" s="111" t="s">
        <v>135</v>
      </c>
      <c r="D252" s="104" t="s">
        <v>223</v>
      </c>
      <c r="E252" s="116"/>
      <c r="F252" s="110">
        <v>2</v>
      </c>
      <c r="L252" s="24"/>
    </row>
    <row r="253" spans="2:13" ht="16.5" customHeight="1" thickBot="1" x14ac:dyDescent="0.4">
      <c r="B253" s="94" t="s">
        <v>172</v>
      </c>
      <c r="C253" s="95" t="s">
        <v>173</v>
      </c>
      <c r="D253" s="102" t="s">
        <v>243</v>
      </c>
      <c r="E253" s="102" t="s">
        <v>28</v>
      </c>
      <c r="F253" s="96">
        <v>2</v>
      </c>
      <c r="M253" s="24"/>
    </row>
    <row r="254" spans="2:13" ht="16.5" customHeight="1" thickBot="1" x14ac:dyDescent="0.4">
      <c r="E254" s="83" t="s">
        <v>35</v>
      </c>
      <c r="F254" s="84">
        <f>SUM(F252:F253)</f>
        <v>4</v>
      </c>
    </row>
    <row r="255" spans="2:13" ht="16.5" customHeight="1" x14ac:dyDescent="0.35">
      <c r="L255" s="24"/>
      <c r="M255" s="24"/>
    </row>
    <row r="256" spans="2:13" ht="16.5" customHeight="1" x14ac:dyDescent="0.35">
      <c r="B256" s="85"/>
      <c r="C256" s="86"/>
      <c r="D256" s="86"/>
      <c r="E256" s="86"/>
      <c r="F256" s="87"/>
      <c r="L256" s="38"/>
      <c r="M256" s="24"/>
    </row>
    <row r="257" spans="2:13" ht="16.5" customHeight="1" thickBot="1" x14ac:dyDescent="0.4"/>
    <row r="258" spans="2:13" ht="19.5" customHeight="1" thickBot="1" x14ac:dyDescent="0.4">
      <c r="B258" s="131" t="s">
        <v>174</v>
      </c>
      <c r="C258" s="132"/>
      <c r="D258" s="132"/>
      <c r="E258" s="132"/>
      <c r="F258" s="133"/>
      <c r="J258" s="26"/>
      <c r="K258" s="24"/>
    </row>
    <row r="259" spans="2:13" ht="30" customHeight="1" thickBot="1" x14ac:dyDescent="0.4">
      <c r="B259" s="75"/>
      <c r="C259" s="76" t="s">
        <v>20</v>
      </c>
      <c r="D259" s="76" t="s">
        <v>21</v>
      </c>
      <c r="E259" s="76" t="s">
        <v>22</v>
      </c>
      <c r="F259" s="77" t="s">
        <v>23</v>
      </c>
      <c r="J259" s="26"/>
      <c r="K259" s="24"/>
    </row>
    <row r="260" spans="2:13" ht="16.5" customHeight="1" x14ac:dyDescent="0.35">
      <c r="B260" s="129"/>
      <c r="C260" s="123" t="s">
        <v>175</v>
      </c>
      <c r="D260" s="78" t="s">
        <v>176</v>
      </c>
      <c r="E260" s="79" t="s">
        <v>38</v>
      </c>
      <c r="F260" s="80"/>
      <c r="J260" s="26"/>
      <c r="K260" s="24"/>
    </row>
    <row r="261" spans="2:13" ht="16.5" customHeight="1" thickBot="1" x14ac:dyDescent="0.4">
      <c r="B261" s="130"/>
      <c r="C261" s="118" t="s">
        <v>177</v>
      </c>
      <c r="D261" s="119" t="s">
        <v>178</v>
      </c>
      <c r="E261" s="120" t="s">
        <v>38</v>
      </c>
      <c r="F261" s="121"/>
      <c r="L261" s="24"/>
    </row>
    <row r="262" spans="2:13" ht="16.5" customHeight="1" thickBot="1" x14ac:dyDescent="0.4">
      <c r="B262" s="92" t="s">
        <v>179</v>
      </c>
      <c r="C262" s="81" t="s">
        <v>180</v>
      </c>
      <c r="D262" s="103" t="s">
        <v>244</v>
      </c>
      <c r="E262" s="103" t="s">
        <v>38</v>
      </c>
      <c r="F262" s="82">
        <v>2</v>
      </c>
      <c r="L262" s="24"/>
    </row>
    <row r="263" spans="2:13" ht="16.5" customHeight="1" thickBot="1" x14ac:dyDescent="0.4">
      <c r="E263" s="83" t="s">
        <v>35</v>
      </c>
      <c r="F263" s="84">
        <f>SUM(F262:F262)</f>
        <v>2</v>
      </c>
    </row>
    <row r="264" spans="2:13" ht="16.5" customHeight="1" x14ac:dyDescent="0.35">
      <c r="L264" s="24"/>
      <c r="M264" s="24"/>
    </row>
    <row r="265" spans="2:13" ht="16.5" customHeight="1" x14ac:dyDescent="0.35">
      <c r="B265" s="85"/>
      <c r="C265" s="86"/>
      <c r="D265" s="86"/>
      <c r="E265" s="86"/>
      <c r="F265" s="87"/>
      <c r="L265" s="38"/>
      <c r="M265" s="24"/>
    </row>
    <row r="266" spans="2:13" ht="16.5" customHeight="1" thickBot="1" x14ac:dyDescent="0.4"/>
    <row r="267" spans="2:13" ht="19.5" customHeight="1" thickBot="1" x14ac:dyDescent="0.4">
      <c r="B267" s="131" t="s">
        <v>181</v>
      </c>
      <c r="C267" s="132"/>
      <c r="D267" s="132"/>
      <c r="E267" s="132"/>
      <c r="F267" s="133"/>
      <c r="J267" s="26"/>
      <c r="K267" s="24"/>
    </row>
    <row r="268" spans="2:13" ht="30" customHeight="1" thickBot="1" x14ac:dyDescent="0.4">
      <c r="B268" s="75"/>
      <c r="C268" s="76" t="s">
        <v>20</v>
      </c>
      <c r="D268" s="76" t="s">
        <v>21</v>
      </c>
      <c r="E268" s="76" t="s">
        <v>22</v>
      </c>
      <c r="F268" s="77" t="s">
        <v>23</v>
      </c>
      <c r="J268" s="26"/>
      <c r="K268" s="24"/>
    </row>
    <row r="269" spans="2:13" ht="16.5" customHeight="1" x14ac:dyDescent="0.35">
      <c r="B269" s="129"/>
      <c r="C269" s="123" t="s">
        <v>175</v>
      </c>
      <c r="D269" s="78" t="s">
        <v>182</v>
      </c>
      <c r="E269" s="79" t="s">
        <v>38</v>
      </c>
      <c r="F269" s="80"/>
      <c r="J269" s="26"/>
      <c r="K269" s="24"/>
    </row>
    <row r="270" spans="2:13" ht="16.5" customHeight="1" thickBot="1" x14ac:dyDescent="0.4">
      <c r="B270" s="130"/>
      <c r="C270" s="118" t="s">
        <v>177</v>
      </c>
      <c r="D270" s="119" t="s">
        <v>183</v>
      </c>
      <c r="E270" s="120" t="s">
        <v>38</v>
      </c>
      <c r="F270" s="121"/>
      <c r="L270" s="24"/>
    </row>
    <row r="271" spans="2:13" ht="16.5" customHeight="1" x14ac:dyDescent="0.35">
      <c r="B271" s="93" t="s">
        <v>184</v>
      </c>
      <c r="C271" s="97" t="s">
        <v>79</v>
      </c>
      <c r="D271" s="101" t="s">
        <v>245</v>
      </c>
      <c r="E271" s="101" t="s">
        <v>36</v>
      </c>
      <c r="F271" s="98">
        <v>2</v>
      </c>
      <c r="L271" s="24"/>
    </row>
    <row r="272" spans="2:13" ht="16.5" customHeight="1" thickBot="1" x14ac:dyDescent="0.4">
      <c r="B272" s="41" t="s">
        <v>185</v>
      </c>
      <c r="C272" s="42" t="s">
        <v>186</v>
      </c>
      <c r="D272" s="50" t="s">
        <v>246</v>
      </c>
      <c r="E272" s="50" t="s">
        <v>28</v>
      </c>
      <c r="F272" s="43">
        <v>2</v>
      </c>
      <c r="L272" s="24"/>
    </row>
    <row r="273" spans="2:13" ht="16.5" customHeight="1" thickBot="1" x14ac:dyDescent="0.4">
      <c r="E273" s="83" t="s">
        <v>35</v>
      </c>
      <c r="F273" s="84">
        <f>SUM(F271:F272)</f>
        <v>4</v>
      </c>
    </row>
    <row r="274" spans="2:13" ht="16.5" customHeight="1" x14ac:dyDescent="0.35">
      <c r="L274" s="24"/>
      <c r="M274" s="24"/>
    </row>
    <row r="275" spans="2:13" ht="16.5" customHeight="1" x14ac:dyDescent="0.35">
      <c r="B275" s="85"/>
      <c r="C275" s="86"/>
      <c r="D275" s="86"/>
      <c r="E275" s="86"/>
      <c r="F275" s="87"/>
      <c r="L275" s="38"/>
      <c r="M275" s="24"/>
    </row>
    <row r="276" spans="2:13" ht="16.5" customHeight="1" thickBot="1" x14ac:dyDescent="0.4"/>
    <row r="277" spans="2:13" ht="19.5" customHeight="1" thickBot="1" x14ac:dyDescent="0.4">
      <c r="B277" s="131" t="s">
        <v>187</v>
      </c>
      <c r="C277" s="132"/>
      <c r="D277" s="132"/>
      <c r="E277" s="132"/>
      <c r="F277" s="133"/>
      <c r="J277" s="26"/>
      <c r="K277" s="24"/>
    </row>
    <row r="278" spans="2:13" ht="30" customHeight="1" thickBot="1" x14ac:dyDescent="0.4">
      <c r="B278" s="75"/>
      <c r="C278" s="76" t="s">
        <v>20</v>
      </c>
      <c r="D278" s="76" t="s">
        <v>21</v>
      </c>
      <c r="E278" s="76" t="s">
        <v>22</v>
      </c>
      <c r="F278" s="77" t="s">
        <v>23</v>
      </c>
      <c r="J278" s="26"/>
      <c r="K278" s="24"/>
    </row>
    <row r="279" spans="2:13" ht="16.5" customHeight="1" x14ac:dyDescent="0.35">
      <c r="B279" s="129"/>
      <c r="C279" s="123" t="s">
        <v>188</v>
      </c>
      <c r="D279" s="78">
        <v>6</v>
      </c>
      <c r="E279" s="79" t="s">
        <v>38</v>
      </c>
      <c r="F279" s="80"/>
      <c r="J279" s="26"/>
      <c r="K279" s="24"/>
    </row>
    <row r="280" spans="2:13" ht="16.5" customHeight="1" thickBot="1" x14ac:dyDescent="0.4">
      <c r="B280" s="130"/>
      <c r="C280" s="118" t="s">
        <v>175</v>
      </c>
      <c r="D280" s="119" t="s">
        <v>189</v>
      </c>
      <c r="E280" s="120" t="s">
        <v>38</v>
      </c>
      <c r="F280" s="121"/>
      <c r="L280" s="24"/>
    </row>
    <row r="281" spans="2:13" ht="16.5" customHeight="1" thickBot="1" x14ac:dyDescent="0.4">
      <c r="B281" s="92" t="s">
        <v>190</v>
      </c>
      <c r="C281" s="81" t="s">
        <v>191</v>
      </c>
      <c r="D281" s="103"/>
      <c r="E281" s="103"/>
      <c r="F281" s="82">
        <v>2</v>
      </c>
      <c r="L281" s="24"/>
    </row>
    <row r="282" spans="2:13" ht="16.5" customHeight="1" thickBot="1" x14ac:dyDescent="0.4">
      <c r="E282" s="83" t="s">
        <v>35</v>
      </c>
      <c r="F282" s="84">
        <f>SUM(F281:F281)</f>
        <v>2</v>
      </c>
    </row>
    <row r="283" spans="2:13" ht="16.5" customHeight="1" x14ac:dyDescent="0.35">
      <c r="L283" s="24"/>
      <c r="M283" s="24"/>
    </row>
    <row r="284" spans="2:13" ht="16.5" customHeight="1" x14ac:dyDescent="0.35">
      <c r="B284" s="85"/>
      <c r="C284" s="86"/>
      <c r="D284" s="86"/>
      <c r="E284" s="86"/>
      <c r="F284" s="87"/>
      <c r="L284" s="38"/>
      <c r="M284" s="24"/>
    </row>
    <row r="285" spans="2:13" ht="16.5" customHeight="1" thickBot="1" x14ac:dyDescent="0.4"/>
    <row r="286" spans="2:13" ht="19.5" customHeight="1" thickBot="1" x14ac:dyDescent="0.4">
      <c r="B286" s="131" t="s">
        <v>192</v>
      </c>
      <c r="C286" s="132"/>
      <c r="D286" s="132"/>
      <c r="E286" s="132"/>
      <c r="F286" s="133"/>
      <c r="J286" s="26"/>
      <c r="K286" s="24"/>
    </row>
    <row r="287" spans="2:13" ht="30" customHeight="1" thickBot="1" x14ac:dyDescent="0.4">
      <c r="B287" s="75"/>
      <c r="C287" s="76" t="s">
        <v>20</v>
      </c>
      <c r="D287" s="76" t="s">
        <v>21</v>
      </c>
      <c r="E287" s="76" t="s">
        <v>22</v>
      </c>
      <c r="F287" s="77" t="s">
        <v>23</v>
      </c>
      <c r="J287" s="26"/>
      <c r="K287" s="24"/>
    </row>
    <row r="288" spans="2:13" ht="16.5" customHeight="1" x14ac:dyDescent="0.35">
      <c r="B288" s="129"/>
      <c r="C288" s="123" t="s">
        <v>188</v>
      </c>
      <c r="D288" s="78">
        <v>1</v>
      </c>
      <c r="E288" s="79" t="s">
        <v>38</v>
      </c>
      <c r="F288" s="80"/>
      <c r="J288" s="26"/>
      <c r="K288" s="24"/>
    </row>
    <row r="289" spans="2:13" ht="16.5" customHeight="1" thickBot="1" x14ac:dyDescent="0.4">
      <c r="B289" s="130"/>
      <c r="C289" s="118" t="s">
        <v>177</v>
      </c>
      <c r="D289" s="119" t="s">
        <v>193</v>
      </c>
      <c r="E289" s="120" t="s">
        <v>38</v>
      </c>
      <c r="F289" s="121"/>
      <c r="L289" s="24"/>
    </row>
    <row r="290" spans="2:13" ht="16.5" customHeight="1" x14ac:dyDescent="0.35">
      <c r="B290" s="93" t="s">
        <v>194</v>
      </c>
      <c r="C290" s="97" t="s">
        <v>89</v>
      </c>
      <c r="D290" s="101"/>
      <c r="E290" s="116"/>
      <c r="F290" s="98">
        <v>1</v>
      </c>
      <c r="L290" s="24"/>
    </row>
    <row r="291" spans="2:13" ht="16.5" customHeight="1" x14ac:dyDescent="0.35">
      <c r="B291" s="55" t="s">
        <v>195</v>
      </c>
      <c r="C291" s="56" t="s">
        <v>91</v>
      </c>
      <c r="D291" s="57"/>
      <c r="E291" s="15"/>
      <c r="F291" s="39">
        <v>1</v>
      </c>
      <c r="L291" s="24"/>
    </row>
    <row r="292" spans="2:13" ht="16.5" customHeight="1" x14ac:dyDescent="0.35">
      <c r="B292" s="55" t="s">
        <v>196</v>
      </c>
      <c r="C292" s="56" t="s">
        <v>93</v>
      </c>
      <c r="D292" s="57"/>
      <c r="E292" s="15"/>
      <c r="F292" s="39">
        <v>1</v>
      </c>
      <c r="L292" s="24"/>
    </row>
    <row r="293" spans="2:13" ht="16.5" customHeight="1" thickBot="1" x14ac:dyDescent="0.4">
      <c r="B293" s="94" t="s">
        <v>197</v>
      </c>
      <c r="C293" s="95" t="s">
        <v>95</v>
      </c>
      <c r="D293" s="102"/>
      <c r="E293" s="117"/>
      <c r="F293" s="96">
        <v>1</v>
      </c>
      <c r="L293" s="24"/>
    </row>
    <row r="294" spans="2:13" ht="16.5" customHeight="1" thickBot="1" x14ac:dyDescent="0.4">
      <c r="E294" s="83" t="s">
        <v>35</v>
      </c>
      <c r="F294" s="84">
        <f>SUM(F290:F293)</f>
        <v>4</v>
      </c>
    </row>
    <row r="295" spans="2:13" ht="16.5" customHeight="1" x14ac:dyDescent="0.35">
      <c r="L295" s="24"/>
      <c r="M295" s="24"/>
    </row>
    <row r="296" spans="2:13" ht="16.5" customHeight="1" x14ac:dyDescent="0.35">
      <c r="B296" s="85"/>
      <c r="C296" s="86"/>
      <c r="D296" s="86"/>
      <c r="E296" s="86"/>
      <c r="F296" s="87"/>
      <c r="L296" s="38"/>
      <c r="M296" s="24"/>
    </row>
    <row r="297" spans="2:13" ht="16.5" customHeight="1" thickBot="1" x14ac:dyDescent="0.4"/>
    <row r="298" spans="2:13" ht="19.5" customHeight="1" thickBot="1" x14ac:dyDescent="0.4">
      <c r="B298" s="131" t="s">
        <v>198</v>
      </c>
      <c r="C298" s="132"/>
      <c r="D298" s="132"/>
      <c r="E298" s="132"/>
      <c r="F298" s="133"/>
      <c r="J298" s="26"/>
      <c r="K298" s="24"/>
    </row>
    <row r="299" spans="2:13" ht="30" customHeight="1" thickBot="1" x14ac:dyDescent="0.4">
      <c r="B299" s="75"/>
      <c r="C299" s="76" t="s">
        <v>20</v>
      </c>
      <c r="D299" s="76" t="s">
        <v>21</v>
      </c>
      <c r="E299" s="76" t="s">
        <v>22</v>
      </c>
      <c r="F299" s="77" t="s">
        <v>23</v>
      </c>
      <c r="J299" s="26"/>
      <c r="K299" s="24"/>
    </row>
    <row r="300" spans="2:13" ht="16.5" customHeight="1" x14ac:dyDescent="0.35">
      <c r="B300" s="129"/>
      <c r="C300" s="123" t="s">
        <v>188</v>
      </c>
      <c r="D300" s="78">
        <v>10</v>
      </c>
      <c r="E300" s="79" t="s">
        <v>38</v>
      </c>
      <c r="F300" s="80"/>
      <c r="J300" s="26"/>
      <c r="K300" s="24"/>
    </row>
    <row r="301" spans="2:13" ht="16.5" customHeight="1" thickBot="1" x14ac:dyDescent="0.4">
      <c r="B301" s="130"/>
      <c r="C301" s="118" t="s">
        <v>177</v>
      </c>
      <c r="D301" s="119" t="s">
        <v>199</v>
      </c>
      <c r="E301" s="120" t="s">
        <v>38</v>
      </c>
      <c r="F301" s="121"/>
      <c r="L301" s="24"/>
    </row>
    <row r="302" spans="2:13" ht="16.5" customHeight="1" x14ac:dyDescent="0.35">
      <c r="B302" s="93" t="s">
        <v>200</v>
      </c>
      <c r="C302" s="97" t="s">
        <v>201</v>
      </c>
      <c r="D302" s="101"/>
      <c r="E302" s="101"/>
      <c r="F302" s="98">
        <v>1</v>
      </c>
      <c r="L302" s="24"/>
    </row>
    <row r="303" spans="2:13" ht="16.5" customHeight="1" thickBot="1" x14ac:dyDescent="0.4">
      <c r="B303" s="94" t="s">
        <v>202</v>
      </c>
      <c r="C303" s="95" t="s">
        <v>203</v>
      </c>
      <c r="D303" s="102"/>
      <c r="E303" s="117"/>
      <c r="F303" s="96">
        <v>1</v>
      </c>
      <c r="L303" s="24"/>
    </row>
    <row r="304" spans="2:13" ht="16.5" customHeight="1" thickBot="1" x14ac:dyDescent="0.4">
      <c r="E304" s="83" t="s">
        <v>35</v>
      </c>
      <c r="F304" s="84">
        <f>SUM(F302:F303)</f>
        <v>2</v>
      </c>
    </row>
    <row r="305" spans="2:13" ht="16.5" customHeight="1" x14ac:dyDescent="0.35">
      <c r="L305" s="24"/>
      <c r="M305" s="24"/>
    </row>
    <row r="306" spans="2:13" ht="16.5" customHeight="1" x14ac:dyDescent="0.35">
      <c r="B306" s="85"/>
      <c r="C306" s="86"/>
      <c r="D306" s="86"/>
      <c r="E306" s="86"/>
      <c r="F306" s="87"/>
      <c r="L306" s="38"/>
      <c r="M306" s="24"/>
    </row>
    <row r="307" spans="2:13" ht="16.5" customHeight="1" thickBot="1" x14ac:dyDescent="0.4"/>
    <row r="308" spans="2:13" ht="19.5" customHeight="1" thickBot="1" x14ac:dyDescent="0.4">
      <c r="B308" s="131" t="s">
        <v>204</v>
      </c>
      <c r="C308" s="132"/>
      <c r="D308" s="132"/>
      <c r="E308" s="132"/>
      <c r="F308" s="133"/>
      <c r="J308" s="26"/>
      <c r="K308" s="24"/>
    </row>
    <row r="309" spans="2:13" ht="30" customHeight="1" thickBot="1" x14ac:dyDescent="0.4">
      <c r="B309" s="75"/>
      <c r="C309" s="76" t="s">
        <v>20</v>
      </c>
      <c r="D309" s="76" t="s">
        <v>21</v>
      </c>
      <c r="E309" s="76" t="s">
        <v>22</v>
      </c>
      <c r="F309" s="77" t="s">
        <v>23</v>
      </c>
      <c r="J309" s="26"/>
      <c r="K309" s="24"/>
    </row>
    <row r="310" spans="2:13" ht="16.5" customHeight="1" x14ac:dyDescent="0.35">
      <c r="B310" s="129"/>
      <c r="C310" s="123" t="s">
        <v>188</v>
      </c>
      <c r="D310" s="78">
        <v>9</v>
      </c>
      <c r="E310" s="79" t="s">
        <v>38</v>
      </c>
      <c r="F310" s="80"/>
      <c r="J310" s="26"/>
      <c r="K310" s="24"/>
    </row>
    <row r="311" spans="2:13" ht="16.5" customHeight="1" thickBot="1" x14ac:dyDescent="0.4">
      <c r="B311" s="130"/>
      <c r="C311" s="118" t="s">
        <v>175</v>
      </c>
      <c r="D311" s="119" t="s">
        <v>205</v>
      </c>
      <c r="E311" s="120" t="s">
        <v>38</v>
      </c>
      <c r="F311" s="121"/>
      <c r="L311" s="24"/>
    </row>
    <row r="312" spans="2:13" ht="16.5" customHeight="1" thickBot="1" x14ac:dyDescent="0.4">
      <c r="B312" s="92" t="s">
        <v>206</v>
      </c>
      <c r="C312" s="81" t="s">
        <v>207</v>
      </c>
      <c r="D312" s="103"/>
      <c r="E312" s="103"/>
      <c r="F312" s="82">
        <v>2</v>
      </c>
      <c r="L312" s="24"/>
    </row>
    <row r="313" spans="2:13" ht="16.5" customHeight="1" thickBot="1" x14ac:dyDescent="0.4">
      <c r="E313" s="83" t="s">
        <v>35</v>
      </c>
      <c r="F313" s="84">
        <f>SUM(F312:F312)</f>
        <v>2</v>
      </c>
    </row>
    <row r="314" spans="2:13" ht="16.5" customHeight="1" x14ac:dyDescent="0.35">
      <c r="L314" s="24"/>
      <c r="M314" s="24"/>
    </row>
    <row r="315" spans="2:13" ht="16.5" customHeight="1" x14ac:dyDescent="0.35">
      <c r="B315" s="85"/>
      <c r="C315" s="86"/>
      <c r="D315" s="86"/>
      <c r="E315" s="86"/>
      <c r="F315" s="87"/>
      <c r="L315" s="38"/>
      <c r="M315" s="24"/>
    </row>
    <row r="316" spans="2:13" ht="16.5" customHeight="1" thickBot="1" x14ac:dyDescent="0.4"/>
    <row r="317" spans="2:13" ht="19.5" customHeight="1" thickBot="1" x14ac:dyDescent="0.4">
      <c r="B317" s="131" t="s">
        <v>208</v>
      </c>
      <c r="C317" s="132"/>
      <c r="D317" s="132"/>
      <c r="E317" s="132"/>
      <c r="F317" s="133"/>
      <c r="J317" s="26"/>
      <c r="K317" s="24"/>
    </row>
    <row r="318" spans="2:13" ht="30" customHeight="1" thickBot="1" x14ac:dyDescent="0.4">
      <c r="B318" s="75"/>
      <c r="C318" s="76" t="s">
        <v>20</v>
      </c>
      <c r="D318" s="76" t="s">
        <v>21</v>
      </c>
      <c r="E318" s="76" t="s">
        <v>22</v>
      </c>
      <c r="F318" s="77" t="s">
        <v>23</v>
      </c>
      <c r="J318" s="26"/>
      <c r="K318" s="24"/>
    </row>
    <row r="319" spans="2:13" ht="16.5" customHeight="1" x14ac:dyDescent="0.35">
      <c r="B319" s="129"/>
      <c r="C319" s="123" t="s">
        <v>188</v>
      </c>
      <c r="D319" s="78">
        <v>3</v>
      </c>
      <c r="E319" s="79" t="s">
        <v>38</v>
      </c>
      <c r="F319" s="80"/>
      <c r="J319" s="26"/>
      <c r="K319" s="24"/>
    </row>
    <row r="320" spans="2:13" ht="16.5" customHeight="1" thickBot="1" x14ac:dyDescent="0.4">
      <c r="B320" s="130"/>
      <c r="C320" s="118" t="s">
        <v>177</v>
      </c>
      <c r="D320" s="119" t="s">
        <v>209</v>
      </c>
      <c r="E320" s="120" t="s">
        <v>38</v>
      </c>
      <c r="F320" s="121"/>
      <c r="L320" s="24"/>
    </row>
    <row r="321" spans="2:13" ht="16.5" customHeight="1" x14ac:dyDescent="0.35">
      <c r="B321" s="93" t="s">
        <v>210</v>
      </c>
      <c r="C321" s="97" t="s">
        <v>131</v>
      </c>
      <c r="D321" s="101"/>
      <c r="E321" s="49"/>
      <c r="F321" s="98">
        <v>2</v>
      </c>
      <c r="L321" s="24"/>
    </row>
    <row r="322" spans="2:13" ht="16.5" customHeight="1" thickBot="1" x14ac:dyDescent="0.4">
      <c r="B322" s="94" t="s">
        <v>211</v>
      </c>
      <c r="C322" s="95" t="s">
        <v>212</v>
      </c>
      <c r="D322" s="102"/>
      <c r="E322" s="102"/>
      <c r="F322" s="96">
        <v>2</v>
      </c>
      <c r="L322" s="24"/>
    </row>
    <row r="323" spans="2:13" ht="16.5" customHeight="1" thickBot="1" x14ac:dyDescent="0.4">
      <c r="E323" s="83" t="s">
        <v>35</v>
      </c>
      <c r="F323" s="84">
        <f>SUM(F321:F322)</f>
        <v>4</v>
      </c>
    </row>
    <row r="324" spans="2:13" ht="16.5" customHeight="1" x14ac:dyDescent="0.35">
      <c r="L324" s="24"/>
      <c r="M324" s="24"/>
    </row>
    <row r="325" spans="2:13" ht="16.5" customHeight="1" x14ac:dyDescent="0.35">
      <c r="B325" s="85"/>
      <c r="C325" s="86"/>
      <c r="D325" s="86"/>
      <c r="E325" s="86"/>
      <c r="F325" s="87"/>
      <c r="L325" s="38"/>
      <c r="M325" s="24"/>
    </row>
    <row r="326" spans="2:13" ht="16.5" customHeight="1" x14ac:dyDescent="0.35"/>
  </sheetData>
  <sheetProtection sheet="1" objects="1" scenarios="1"/>
  <mergeCells count="71">
    <mergeCell ref="B300:B301"/>
    <mergeCell ref="B308:F308"/>
    <mergeCell ref="B310:B311"/>
    <mergeCell ref="B317:F317"/>
    <mergeCell ref="B319:B320"/>
    <mergeCell ref="B277:F277"/>
    <mergeCell ref="B279:B280"/>
    <mergeCell ref="B286:F286"/>
    <mergeCell ref="B288:B289"/>
    <mergeCell ref="B298:F298"/>
    <mergeCell ref="B250:B251"/>
    <mergeCell ref="B258:F258"/>
    <mergeCell ref="B260:B261"/>
    <mergeCell ref="B267:F267"/>
    <mergeCell ref="B269:B270"/>
    <mergeCell ref="B231:F231"/>
    <mergeCell ref="B239:F239"/>
    <mergeCell ref="B241:B242"/>
    <mergeCell ref="B248:F248"/>
    <mergeCell ref="B219:F219"/>
    <mergeCell ref="B221:F221"/>
    <mergeCell ref="B91:B92"/>
    <mergeCell ref="B223:B224"/>
    <mergeCell ref="B89:F89"/>
    <mergeCell ref="B101:F101"/>
    <mergeCell ref="D14:E14"/>
    <mergeCell ref="D15:E15"/>
    <mergeCell ref="B17:F17"/>
    <mergeCell ref="B29:F29"/>
    <mergeCell ref="B19:F19"/>
    <mergeCell ref="B38:F38"/>
    <mergeCell ref="B47:F47"/>
    <mergeCell ref="B76:F76"/>
    <mergeCell ref="B67:F67"/>
    <mergeCell ref="B21:B22"/>
    <mergeCell ref="B58:F58"/>
    <mergeCell ref="B60:B61"/>
    <mergeCell ref="B69:B70"/>
    <mergeCell ref="B78:B80"/>
    <mergeCell ref="C6:D6"/>
    <mergeCell ref="C7:D7"/>
    <mergeCell ref="C8:D8"/>
    <mergeCell ref="B10:F10"/>
    <mergeCell ref="E1:F1"/>
    <mergeCell ref="B2:C2"/>
    <mergeCell ref="E2:F2"/>
    <mergeCell ref="B4:F4"/>
    <mergeCell ref="B1:C1"/>
    <mergeCell ref="B211:B212"/>
    <mergeCell ref="B209:F209"/>
    <mergeCell ref="B110:F110"/>
    <mergeCell ref="B143:F143"/>
    <mergeCell ref="B123:F123"/>
    <mergeCell ref="B112:F112"/>
    <mergeCell ref="B154:F154"/>
    <mergeCell ref="B133:F133"/>
    <mergeCell ref="B114:B116"/>
    <mergeCell ref="B125:B126"/>
    <mergeCell ref="B145:B147"/>
    <mergeCell ref="B201:B203"/>
    <mergeCell ref="B135:B136"/>
    <mergeCell ref="B156:B157"/>
    <mergeCell ref="B163:F163"/>
    <mergeCell ref="B165:B166"/>
    <mergeCell ref="B192:B193"/>
    <mergeCell ref="B199:F199"/>
    <mergeCell ref="B190:F190"/>
    <mergeCell ref="B172:F172"/>
    <mergeCell ref="B174:B175"/>
    <mergeCell ref="B181:F181"/>
    <mergeCell ref="B183:B184"/>
  </mergeCells>
  <dataValidations count="2">
    <dataValidation type="list" showInputMessage="1" showErrorMessage="1" errorTitle="Unit Not Valid" error="The selected unit is not valid, please select a valid unit from the list." sqref="E321:E322 E24 E32 E33 E41 E42 E50:E53 E62 E71 E104:E105 E117:E118 E127:E128 E137:E138 E148:E149 E158 E167 E176 E185 E194 E204 E213:E214 E225:E226 E234 E243 E253 E262 E271:E272 E281 E302 E312 E23" xr:uid="{00000000-0002-0000-0000-000000000000}">
      <formula1>$I$21:$I$48</formula1>
    </dataValidation>
    <dataValidation type="list" showInputMessage="1" showErrorMessage="1" errorTitle="Value Not Valid" error="Please select the correct statement by entering the number (1, 2, 3 or 4) only." sqref="D252" xr:uid="{00000000-0002-0000-0000-000001000000}">
      <formula1>"1, 2, 3, 4"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2021-07-07T09:25:59Z</dcterms:modified>
  <dc:language>en-ZA</dc:language>
</cp:coreProperties>
</file>