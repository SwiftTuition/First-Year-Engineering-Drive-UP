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1\"/>
    </mc:Choice>
  </mc:AlternateContent>
  <xr:revisionPtr revIDLastSave="0" documentId="13_ncr:1_{4F067DF4-2F4F-49B9-A451-6AEC7A65C472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 " sheetId="1" r:id="rId1"/>
  </sheets>
  <definedNames>
    <definedName name="_xlnm.Print_Area" localSheetId="0">'Sheet1 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<sst xmlns="http://schemas.openxmlformats.org/spreadsheetml/2006/main" count="262" uniqueCount="145">
  <si>
    <t>2024EBN111Q01</t>
  </si>
  <si>
    <t>Student number:</t>
  </si>
  <si>
    <t>26/02/2024 - 08/03/2024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</si>
  <si>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</si>
  <si>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</si>
  <si>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</si>
  <si>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</si>
  <si>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</si>
  <si>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</si>
  <si>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</si>
  <si>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</si>
  <si>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</si>
  <si>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</si>
  <si>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</si>
  <si>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</si>
  <si>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</si>
  <si>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</si>
  <si>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</si>
  <si>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</si>
  <si>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</si>
  <si>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01 to 10</t>
  </si>
  <si>
    <t>Parameter / Description</t>
  </si>
  <si>
    <t>No.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</si>
  <si>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</si>
  <si>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</si>
  <si>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</si>
  <si>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</si>
  <si>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</si>
  <si>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</si>
  <si>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</si>
  <si>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</si>
  <si>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</si>
  <si>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</si>
  <si>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</si>
  <si>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</si>
  <si>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</si>
  <si>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</si>
  <si>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</si>
  <si>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V1</t>
  </si>
  <si>
    <t>01</t>
  </si>
  <si>
    <t>06</t>
  </si>
  <si>
    <t>1 / 1 / -</t>
  </si>
  <si>
    <t>C</t>
  </si>
  <si>
    <t>A</t>
  </si>
  <si>
    <t>IR3</t>
  </si>
  <si>
    <t>02</t>
  </si>
  <si>
    <t>07</t>
  </si>
  <si>
    <t>J</t>
  </si>
  <si>
    <t>kohm</t>
  </si>
  <si>
    <t>PR3</t>
  </si>
  <si>
    <t>03</t>
  </si>
  <si>
    <t>08</t>
  </si>
  <si>
    <t>W</t>
  </si>
  <si>
    <t>Mohm</t>
  </si>
  <si>
    <t>IS</t>
  </si>
  <si>
    <t>04</t>
  </si>
  <si>
    <t>09</t>
  </si>
  <si>
    <t>V</t>
  </si>
  <si>
    <t>Gohm</t>
  </si>
  <si>
    <t>Req</t>
  </si>
  <si>
    <t>05</t>
  </si>
  <si>
    <t>10</t>
  </si>
  <si>
    <t>Total</t>
  </si>
  <si>
    <t>H</t>
  </si>
  <si>
    <t>F</t>
  </si>
  <si>
    <t>rad</t>
  </si>
  <si>
    <t>deg</t>
  </si>
  <si>
    <t xml:space="preserve">Question 11 to 15 </t>
  </si>
  <si>
    <t>Hz</t>
  </si>
  <si>
    <t>RLDR</t>
  </si>
  <si>
    <t>VLED</t>
  </si>
  <si>
    <t>13</t>
  </si>
  <si>
    <t>- / 1 / -</t>
  </si>
  <si>
    <t>VR2</t>
  </si>
  <si>
    <t>- / - / -</t>
  </si>
  <si>
    <t>ILED</t>
  </si>
  <si>
    <t>11</t>
  </si>
  <si>
    <t>14</t>
  </si>
  <si>
    <t>PLED</t>
  </si>
  <si>
    <t>12</t>
  </si>
  <si>
    <t>15</t>
  </si>
  <si>
    <t>Question 16 to 24 and Question 27 to 39</t>
  </si>
  <si>
    <t>VLEDmax</t>
  </si>
  <si>
    <t>16</t>
  </si>
  <si>
    <t>27</t>
  </si>
  <si>
    <t>- / 2 / -</t>
  </si>
  <si>
    <t>28</t>
  </si>
  <si>
    <t>ILEDmax</t>
  </si>
  <si>
    <t>17</t>
  </si>
  <si>
    <t>29</t>
  </si>
  <si>
    <t>PLEDmax</t>
  </si>
  <si>
    <t>18</t>
  </si>
  <si>
    <t>30</t>
  </si>
  <si>
    <t>VLEDmin</t>
  </si>
  <si>
    <t>19</t>
  </si>
  <si>
    <t>31</t>
  </si>
  <si>
    <t>32</t>
  </si>
  <si>
    <t>ILEDmin</t>
  </si>
  <si>
    <t>20</t>
  </si>
  <si>
    <t>33</t>
  </si>
  <si>
    <t>PLEDmin</t>
  </si>
  <si>
    <t>21</t>
  </si>
  <si>
    <t>34</t>
  </si>
  <si>
    <t>22</t>
  </si>
  <si>
    <t>35</t>
  </si>
  <si>
    <t>36</t>
  </si>
  <si>
    <t>23</t>
  </si>
  <si>
    <t>37</t>
  </si>
  <si>
    <t>24</t>
  </si>
  <si>
    <t>38</t>
  </si>
  <si>
    <t>Rpot</t>
  </si>
  <si>
    <t>39</t>
  </si>
  <si>
    <t>SECTION 2: Practical Demonstration</t>
  </si>
  <si>
    <t>Question 25</t>
  </si>
  <si>
    <t>25</t>
  </si>
  <si>
    <t>SECTION 3: Practical Measurements</t>
  </si>
  <si>
    <t>Question 26</t>
  </si>
  <si>
    <t>Vs</t>
  </si>
  <si>
    <t>26</t>
  </si>
  <si>
    <t>Answer Question 27 to 39 in Section 1</t>
  </si>
  <si>
    <t>8.162031439</t>
  </si>
  <si>
    <t>816.2031439</t>
  </si>
  <si>
    <t>0.00666187572</t>
  </si>
  <si>
    <t>1.49637243</t>
  </si>
  <si>
    <t>6014.545456</t>
  </si>
  <si>
    <t>8.1620312</t>
  </si>
  <si>
    <t>0.000816203</t>
  </si>
  <si>
    <t>6.6618754</t>
  </si>
  <si>
    <t>mW</t>
  </si>
  <si>
    <t>6.0145456</t>
  </si>
  <si>
    <t>1.72938843</t>
  </si>
  <si>
    <t>-110.11235596</t>
  </si>
  <si>
    <t>669.46775</t>
  </si>
  <si>
    <t>1.7415307</t>
  </si>
  <si>
    <t>1.1658986</t>
  </si>
  <si>
    <t>1.8787732</t>
  </si>
  <si>
    <t>671.4295</t>
  </si>
  <si>
    <t>mV</t>
  </si>
  <si>
    <t>1.26146375</t>
  </si>
  <si>
    <t>33.210333</t>
  </si>
  <si>
    <t>59.320509</t>
  </si>
  <si>
    <t>1.5926655</t>
  </si>
  <si>
    <t>667.1565</t>
  </si>
  <si>
    <t>1.062557141</t>
  </si>
  <si>
    <t>0.000000000000001970053858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</si>
</sst>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8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0000"/>
      <name val="Calibri"/>
      <family val="2"/>
    </font>
    <font>
      <sz val="11"/>
      <color theme="1"/>
      <name val="Times New Roman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2" tint="-0.499984740745262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4" tint="0.39997558519241921"/>
        <bgColor rgb="FFFFFF00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6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4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9" fillId="6" borderId="0" xfId="0" applyFont="1" applyFill="1" applyAlignment="1">
      <alignment horizontal="left"/>
    </xf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7" borderId="19" xfId="0" applyFont="1" applyFill="1" applyBorder="1" applyAlignment="1">
      <alignment horizontal="center"/>
    </xf>
    <xf numFmtId="11" fontId="15" fillId="0" borderId="0" xfId="0" applyNumberFormat="1" applyFont="1" applyAlignment="1">
      <alignment horizontal="center" vertical="center" wrapText="1"/>
    </xf>
    <xf numFmtId="11" fontId="4" fillId="0" borderId="13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6" xfId="0" applyFont="1" applyBorder="1" applyAlignment="1">
      <alignment horizontal="center"/>
    </xf>
    <xf numFmtId="0" fontId="9" fillId="7" borderId="18" xfId="0" applyFont="1" applyFill="1" applyBorder="1" applyAlignment="1">
      <alignment horizontal="center" wrapText="1"/>
    </xf>
    <xf numFmtId="0" fontId="18" fillId="0" borderId="0" xfId="0" applyFont="1" applyAlignment="1">
      <alignment horizontal="left" vertical="top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/>
    </xf>
    <xf numFmtId="49" fontId="0" fillId="9" borderId="1" xfId="0" quotePrefix="1" applyNumberForma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/>
    </xf>
    <xf numFmtId="49" fontId="0" fillId="0" borderId="11" xfId="0" quotePrefix="1" applyNumberFormat="1" applyBorder="1" applyAlignment="1">
      <alignment horizontal="center"/>
    </xf>
    <xf numFmtId="49" fontId="0" fillId="9" borderId="11" xfId="0" quotePrefix="1" applyNumberFormat="1" applyFill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0" fillId="0" borderId="18" xfId="0" quotePrefix="1" applyNumberFormat="1" applyBorder="1" applyAlignment="1">
      <alignment horizontal="center"/>
    </xf>
    <xf numFmtId="49" fontId="0" fillId="9" borderId="18" xfId="0" quotePrefix="1" applyNumberFormat="1" applyFill="1" applyBorder="1" applyAlignment="1">
      <alignment horizontal="center"/>
    </xf>
    <xf numFmtId="0" fontId="15" fillId="10" borderId="18" xfId="0" applyFont="1" applyFill="1" applyBorder="1" applyAlignment="1">
      <alignment horizontal="center" vertical="center" wrapText="1"/>
    </xf>
    <xf numFmtId="49" fontId="9" fillId="0" borderId="19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49" fontId="0" fillId="9" borderId="5" xfId="0" quotePrefix="1" applyNumberFormat="1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0" fillId="9" borderId="31" xfId="0" quotePrefix="1" applyNumberFormat="1" applyFill="1" applyBorder="1" applyAlignment="1">
      <alignment horizontal="center"/>
    </xf>
    <xf numFmtId="0" fontId="15" fillId="10" borderId="31" xfId="0" applyFont="1" applyFill="1" applyBorder="1" applyAlignment="1">
      <alignment horizontal="center" vertical="center" wrapText="1"/>
    </xf>
    <xf numFmtId="49" fontId="0" fillId="0" borderId="31" xfId="0" quotePrefix="1" applyNumberFormat="1" applyBorder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2" borderId="35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6" xfId="0" applyBorder="1" applyAlignment="1">
      <alignment horizontal="center" vertical="center"/>
    </xf>
    <xf numFmtId="11" fontId="21" fillId="3" borderId="38" xfId="0" applyNumberFormat="1" applyFont="1" applyFill="1" applyBorder="1" applyAlignment="1">
      <alignment horizontal="center" vertical="center" wrapText="1"/>
    </xf>
    <xf numFmtId="11" fontId="21" fillId="3" borderId="39" xfId="0" applyNumberFormat="1" applyFont="1" applyFill="1" applyBorder="1" applyAlignment="1">
      <alignment horizontal="center" vertical="center" wrapText="1"/>
    </xf>
    <xf numFmtId="11" fontId="21" fillId="3" borderId="40" xfId="0" applyNumberFormat="1" applyFont="1" applyFill="1" applyBorder="1" applyAlignment="1">
      <alignment horizontal="center" vertical="center" wrapText="1"/>
    </xf>
    <xf numFmtId="11" fontId="21" fillId="3" borderId="41" xfId="0" applyNumberFormat="1" applyFont="1" applyFill="1" applyBorder="1" applyAlignment="1">
      <alignment horizontal="center" vertical="center" wrapText="1"/>
    </xf>
    <xf numFmtId="0" fontId="15" fillId="10" borderId="37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9" fillId="11" borderId="29" xfId="0" applyFont="1" applyFill="1" applyBorder="1" applyAlignment="1">
      <alignment horizontal="center" wrapText="1"/>
    </xf>
    <xf numFmtId="11" fontId="21" fillId="3" borderId="42" xfId="0" applyNumberFormat="1" applyFont="1" applyFill="1" applyBorder="1" applyAlignment="1">
      <alignment horizontal="center" vertical="center" wrapText="1"/>
    </xf>
    <xf numFmtId="11" fontId="21" fillId="3" borderId="43" xfId="0" applyNumberFormat="1" applyFont="1" applyFill="1" applyBorder="1" applyAlignment="1">
      <alignment horizontal="center" vertical="center" wrapText="1"/>
    </xf>
    <xf numFmtId="11" fontId="21" fillId="12" borderId="38" xfId="0" applyNumberFormat="1" applyFont="1" applyFill="1" applyBorder="1" applyAlignment="1">
      <alignment horizontal="center" vertical="center" wrapText="1"/>
    </xf>
    <xf numFmtId="11" fontId="21" fillId="12" borderId="39" xfId="0" applyNumberFormat="1" applyFont="1" applyFill="1" applyBorder="1" applyAlignment="1">
      <alignment horizontal="center" vertical="center" wrapText="1"/>
    </xf>
    <xf numFmtId="11" fontId="21" fillId="12" borderId="40" xfId="0" applyNumberFormat="1" applyFont="1" applyFill="1" applyBorder="1" applyAlignment="1">
      <alignment horizontal="center" vertical="center" wrapText="1"/>
    </xf>
    <xf numFmtId="11" fontId="21" fillId="12" borderId="41" xfId="0" applyNumberFormat="1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11" fontId="24" fillId="3" borderId="39" xfId="0" applyNumberFormat="1" applyFont="1" applyFill="1" applyBorder="1" applyAlignment="1">
      <alignment horizontal="center" vertical="center" wrapText="1"/>
    </xf>
    <xf numFmtId="11" fontId="24" fillId="3" borderId="42" xfId="0" applyNumberFormat="1" applyFont="1" applyFill="1" applyBorder="1" applyAlignment="1">
      <alignment horizontal="center" vertical="center" wrapText="1"/>
    </xf>
    <xf numFmtId="11" fontId="24" fillId="3" borderId="41" xfId="0" applyNumberFormat="1" applyFont="1" applyFill="1" applyBorder="1" applyAlignment="1">
      <alignment horizontal="center" vertical="center" wrapText="1"/>
    </xf>
    <xf numFmtId="49" fontId="0" fillId="14" borderId="1" xfId="0" quotePrefix="1" applyNumberFormat="1" applyFill="1" applyBorder="1" applyAlignment="1">
      <alignment horizontal="center"/>
    </xf>
    <xf numFmtId="49" fontId="0" fillId="14" borderId="11" xfId="0" quotePrefix="1" applyNumberFormat="1" applyFill="1" applyBorder="1" applyAlignment="1">
      <alignment horizontal="center"/>
    </xf>
    <xf numFmtId="11" fontId="24" fillId="3" borderId="38" xfId="0" applyNumberFormat="1" applyFont="1" applyFill="1" applyBorder="1" applyAlignment="1">
      <alignment horizontal="center" vertical="center" wrapText="1"/>
    </xf>
    <xf numFmtId="49" fontId="0" fillId="14" borderId="18" xfId="0" quotePrefix="1" applyNumberFormat="1" applyFill="1" applyBorder="1" applyAlignment="1">
      <alignment horizontal="center"/>
    </xf>
    <xf numFmtId="11" fontId="24" fillId="13" borderId="44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top"/>
    </xf>
    <xf numFmtId="0" fontId="25" fillId="10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5" xfId="0" applyFont="1" applyBorder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5" fillId="16" borderId="5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 wrapText="1"/>
    </xf>
    <xf numFmtId="11" fontId="24" fillId="16" borderId="45" xfId="0" applyNumberFormat="1" applyFont="1" applyFill="1" applyBorder="1" applyAlignment="1">
      <alignment horizontal="center" vertical="center" wrapText="1"/>
    </xf>
    <xf numFmtId="11" fontId="24" fillId="16" borderId="46" xfId="0" applyNumberFormat="1" applyFont="1" applyFill="1" applyBorder="1" applyAlignment="1">
      <alignment horizontal="center" vertical="center" wrapText="1"/>
    </xf>
    <xf numFmtId="49" fontId="0" fillId="9" borderId="37" xfId="0" quotePrefix="1" applyNumberFormat="1" applyFill="1" applyBorder="1" applyAlignment="1">
      <alignment horizontal="center"/>
    </xf>
    <xf numFmtId="49" fontId="0" fillId="14" borderId="37" xfId="0" quotePrefix="1" applyNumberFormat="1" applyFill="1" applyBorder="1" applyAlignment="1">
      <alignment horizontal="center"/>
    </xf>
    <xf numFmtId="11" fontId="24" fillId="13" borderId="47" xfId="0" applyNumberFormat="1" applyFont="1" applyFill="1" applyBorder="1" applyAlignment="1">
      <alignment horizontal="center" vertical="center" wrapText="1"/>
    </xf>
    <xf numFmtId="49" fontId="0" fillId="0" borderId="37" xfId="0" quotePrefix="1" applyNumberFormat="1" applyBorder="1" applyAlignment="1">
      <alignment horizontal="center"/>
    </xf>
    <xf numFmtId="0" fontId="15" fillId="16" borderId="37" xfId="0" applyFont="1" applyFill="1" applyBorder="1" applyAlignment="1">
      <alignment horizontal="center" vertical="center" wrapText="1"/>
    </xf>
    <xf numFmtId="11" fontId="24" fillId="3" borderId="1" xfId="0" applyNumberFormat="1" applyFont="1" applyFill="1" applyBorder="1" applyAlignment="1">
      <alignment horizontal="center" vertical="center" wrapText="1"/>
    </xf>
    <xf numFmtId="11" fontId="24" fillId="13" borderId="1" xfId="0" applyNumberFormat="1" applyFont="1" applyFill="1" applyBorder="1" applyAlignment="1">
      <alignment horizontal="center" vertical="center" wrapText="1"/>
    </xf>
    <xf numFmtId="11" fontId="24" fillId="13" borderId="11" xfId="0" applyNumberFormat="1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horizontal="center" wrapText="1"/>
    </xf>
    <xf numFmtId="0" fontId="9" fillId="7" borderId="48" xfId="0" applyFont="1" applyFill="1" applyBorder="1" applyAlignment="1">
      <alignment horizontal="center"/>
    </xf>
    <xf numFmtId="0" fontId="15" fillId="16" borderId="31" xfId="0" applyFont="1" applyFill="1" applyBorder="1" applyAlignment="1">
      <alignment horizontal="center" vertical="center" wrapText="1"/>
    </xf>
    <xf numFmtId="11" fontId="24" fillId="3" borderId="49" xfId="0" applyNumberFormat="1" applyFont="1" applyFill="1" applyBorder="1" applyAlignment="1">
      <alignment horizontal="center" vertical="center" wrapText="1"/>
    </xf>
    <xf numFmtId="11" fontId="21" fillId="12" borderId="49" xfId="0" applyNumberFormat="1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11" fontId="21" fillId="12" borderId="43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1" fontId="24" fillId="3" borderId="42" xfId="0" quotePrefix="1" applyNumberFormat="1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2" fillId="0" borderId="55" xfId="0" applyFont="1" applyBorder="1" applyAlignment="1">
      <alignment horizontal="center" vertical="center"/>
    </xf>
    <xf numFmtId="0" fontId="0" fillId="0" borderId="17" xfId="0" applyBorder="1"/>
    <xf numFmtId="0" fontId="0" fillId="0" borderId="56" xfId="0" applyBorder="1"/>
    <xf numFmtId="0" fontId="18" fillId="0" borderId="1" xfId="0" applyFont="1" applyBorder="1" applyAlignment="1">
      <alignment horizontal="left" vertical="top"/>
    </xf>
    <xf numFmtId="0" fontId="0" fillId="0" borderId="24" xfId="0" applyBorder="1"/>
    <xf numFmtId="0" fontId="0" fillId="0" borderId="25" xfId="0" applyBorder="1"/>
    <xf numFmtId="49" fontId="9" fillId="0" borderId="20" xfId="0" applyNumberFormat="1" applyFont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2" fillId="8" borderId="1" xfId="0" applyFont="1" applyFill="1" applyBorder="1" applyAlignment="1">
      <alignment horizontal="center"/>
    </xf>
    <xf numFmtId="0" fontId="3" fillId="0" borderId="57" xfId="0" applyFont="1" applyBorder="1" applyAlignment="1">
      <alignment horizontal="center" vertical="center" wrapText="1"/>
    </xf>
    <xf numFmtId="0" fontId="0" fillId="0" borderId="53" xfId="0" applyBorder="1"/>
    <xf numFmtId="165" fontId="9" fillId="11" borderId="60" xfId="0" applyNumberFormat="1" applyFont="1" applyFill="1" applyBorder="1" applyAlignment="1">
      <alignment horizontal="center" wrapText="1"/>
    </xf>
    <xf numFmtId="0" fontId="0" fillId="0" borderId="61" xfId="0" applyBorder="1"/>
    <xf numFmtId="0" fontId="3" fillId="0" borderId="52" xfId="0" applyFont="1" applyBorder="1" applyAlignment="1">
      <alignment horizontal="center" vertical="center" wrapText="1"/>
    </xf>
    <xf numFmtId="0" fontId="0" fillId="0" borderId="54" xfId="0" applyBorder="1"/>
    <xf numFmtId="0" fontId="11" fillId="0" borderId="10" xfId="0" applyFont="1" applyBorder="1" applyAlignment="1">
      <alignment horizontal="center"/>
    </xf>
    <xf numFmtId="0" fontId="0" fillId="0" borderId="22" xfId="0" applyBorder="1"/>
    <xf numFmtId="0" fontId="0" fillId="0" borderId="26" xfId="0" applyBorder="1"/>
    <xf numFmtId="0" fontId="11" fillId="0" borderId="7" xfId="0" applyFont="1" applyBorder="1" applyAlignment="1">
      <alignment horizontal="center"/>
    </xf>
    <xf numFmtId="0" fontId="9" fillId="7" borderId="58" xfId="0" applyFont="1" applyFill="1" applyBorder="1" applyAlignment="1">
      <alignment horizontal="center" wrapText="1"/>
    </xf>
    <xf numFmtId="0" fontId="0" fillId="0" borderId="59" xfId="0" applyBorder="1"/>
    <xf numFmtId="0" fontId="9" fillId="0" borderId="62" xfId="0" applyFont="1" applyBorder="1" applyAlignment="1">
      <alignment horizontal="center"/>
    </xf>
    <xf numFmtId="49" fontId="9" fillId="0" borderId="60" xfId="0" applyNumberFormat="1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49" fontId="26" fillId="3" borderId="1" xfId="0" applyNumberFormat="1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49" fontId="9" fillId="0" borderId="6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9" fillId="0" borderId="50" xfId="0" applyFont="1" applyBorder="1" applyAlignment="1">
      <alignment horizontal="center"/>
    </xf>
    <xf numFmtId="0" fontId="0" fillId="0" borderId="34" xfId="0" applyBorder="1"/>
    <xf numFmtId="0" fontId="9" fillId="7" borderId="62" xfId="0" applyFont="1" applyFill="1" applyBorder="1" applyAlignment="1">
      <alignment horizontal="center" wrapText="1"/>
    </xf>
    <xf numFmtId="49" fontId="1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5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9" fillId="0" borderId="52" xfId="0" applyNumberFormat="1" applyFont="1" applyBorder="1" applyAlignment="1">
      <alignment horizontal="center"/>
    </xf>
    <xf numFmtId="165" fontId="9" fillId="11" borderId="50" xfId="0" applyNumberFormat="1" applyFont="1" applyFill="1" applyBorder="1" applyAlignment="1">
      <alignment horizontal="center" wrapText="1"/>
    </xf>
    <xf numFmtId="0" fontId="22" fillId="8" borderId="51" xfId="0" applyFont="1" applyFill="1" applyBorder="1" applyAlignment="1">
      <alignment horizontal="center"/>
    </xf>
    <xf numFmtId="0" fontId="0" fillId="0" borderId="35" xfId="0" applyBorder="1"/>
    <xf numFmtId="49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0" fillId="0" borderId="63" xfId="0" applyBorder="1"/>
    <xf numFmtId="0" fontId="9" fillId="0" borderId="28" xfId="0" applyFont="1" applyBorder="1" applyAlignment="1">
      <alignment horizontal="center"/>
    </xf>
    <xf numFmtId="0" fontId="0" fillId="0" borderId="6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90"/>
  <sheetViews>
    <sheetView showGridLines="0" tabSelected="1" zoomScale="80" zoomScaleNormal="8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20.3984375" customWidth="1"/>
    <col min="4" max="4" width="18.09765625" customWidth="1"/>
    <col min="5" max="6" width="17.19921875" customWidth="1"/>
    <col min="7" max="7" width="9" customWidth="1"/>
    <col min="8" max="9" width="17.19921875" customWidth="1"/>
    <col min="10" max="10" width="9" customWidth="1"/>
    <col min="11" max="11" width="17.8984375" customWidth="1"/>
    <col min="12" max="12" width="17.59765625" customWidth="1"/>
    <col min="13" max="13" width="13.5" customWidth="1"/>
    <col min="14" max="14" width="5.09765625" customWidth="1"/>
    <col min="15" max="15" width="4.59765625" style="28" customWidth="1"/>
    <col min="16" max="16" width="15.09765625" customWidth="1"/>
    <col min="17" max="17" width="14.5" style="2" bestFit="1" customWidth="1"/>
    <col min="18" max="30" width="4.59765625" customWidth="1"/>
  </cols>
  <sheetData>
    <row r="1" spans="2:20" ht="17.399999999999999" customHeight="1" x14ac:dyDescent="0.3">
      <c r="B1" s="165" t="s">
        <v>0</v>
      </c>
      <c r="C1" s="140"/>
      <c r="D1" s="100" t="s">
        <v>1</v>
      </c>
      <c r="E1" s="162"/>
      <c r="F1" s="163"/>
      <c r="G1" s="71"/>
      <c r="H1" s="71"/>
      <c r="I1" s="71"/>
      <c r="J1" s="71"/>
      <c r="K1" s="71"/>
      <c r="L1" s="103"/>
      <c r="M1" s="103"/>
      <c r="N1" s="101"/>
      <c r="O1" s="1"/>
      <c r="R1" s="3"/>
      <c r="S1" s="3"/>
      <c r="T1" s="3"/>
    </row>
    <row r="2" spans="2:20" x14ac:dyDescent="0.3">
      <c r="B2" s="161" t="s">
        <v>2</v>
      </c>
      <c r="C2" s="140"/>
      <c r="D2" s="100" t="s">
        <v>3</v>
      </c>
      <c r="E2" s="169"/>
      <c r="F2" s="163"/>
      <c r="G2" s="72"/>
      <c r="H2" s="72"/>
      <c r="I2" s="72"/>
      <c r="J2" s="72"/>
      <c r="K2" s="72"/>
      <c r="L2" s="104"/>
      <c r="M2" s="104"/>
      <c r="N2" s="102"/>
      <c r="O2" s="1"/>
      <c r="R2" s="3"/>
      <c r="S2" s="3"/>
      <c r="T2" s="3"/>
    </row>
    <row r="3" spans="2:20" x14ac:dyDescent="0.3">
      <c r="B3" s="4"/>
      <c r="C3" s="4"/>
      <c r="D3" s="70"/>
      <c r="E3" s="70"/>
      <c r="F3" s="4"/>
      <c r="G3" s="4"/>
      <c r="H3" s="70"/>
      <c r="I3" s="70"/>
      <c r="J3" s="70"/>
      <c r="K3" s="70"/>
      <c r="L3" s="4"/>
      <c r="M3" s="70"/>
      <c r="N3" s="4"/>
      <c r="O3" s="5"/>
      <c r="Q3" s="6"/>
      <c r="R3" s="4"/>
      <c r="S3" s="4"/>
      <c r="T3" s="4"/>
    </row>
    <row r="4" spans="2:20" ht="22.5" customHeight="1" x14ac:dyDescent="0.3">
      <c r="B4" s="171" t="s">
        <v>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40"/>
      <c r="N4" s="7"/>
      <c r="O4" s="5"/>
      <c r="Q4" s="6"/>
      <c r="R4" s="4"/>
      <c r="S4" s="4"/>
      <c r="T4" s="4"/>
    </row>
    <row r="5" spans="2:20" x14ac:dyDescent="0.3">
      <c r="B5" s="8"/>
      <c r="C5" s="3"/>
      <c r="D5" s="3"/>
      <c r="E5" s="9"/>
      <c r="F5" s="9"/>
      <c r="G5" s="9"/>
      <c r="H5" s="9"/>
      <c r="I5" s="9"/>
      <c r="J5" s="9"/>
      <c r="K5" s="9"/>
      <c r="L5" s="9"/>
      <c r="M5" s="3"/>
      <c r="N5" s="3"/>
      <c r="O5" s="1"/>
      <c r="R5" s="3"/>
      <c r="S5" s="3"/>
      <c r="T5" s="3"/>
    </row>
    <row r="6" spans="2:20" x14ac:dyDescent="0.3">
      <c r="B6" s="10"/>
      <c r="C6" s="138" t="s">
        <v>5</v>
      </c>
      <c r="D6" s="139"/>
      <c r="E6" s="139"/>
      <c r="F6" s="139"/>
      <c r="G6" s="139"/>
      <c r="H6" s="140"/>
      <c r="I6" s="46"/>
      <c r="J6" s="46"/>
      <c r="K6" s="46"/>
      <c r="L6" s="9"/>
      <c r="M6" s="3"/>
      <c r="N6" s="3"/>
      <c r="O6" s="1"/>
      <c r="R6" s="3"/>
      <c r="S6" s="3"/>
      <c r="T6" s="3"/>
    </row>
    <row r="7" spans="2:20" x14ac:dyDescent="0.3">
      <c r="B7" s="11"/>
      <c r="C7" s="138" t="s">
        <v>6</v>
      </c>
      <c r="D7" s="139"/>
      <c r="E7" s="139"/>
      <c r="F7" s="139"/>
      <c r="G7" s="139"/>
      <c r="H7" s="140"/>
      <c r="I7" s="46"/>
      <c r="J7" s="46"/>
      <c r="K7" s="46"/>
      <c r="L7" s="9"/>
      <c r="M7" s="3"/>
      <c r="N7" s="3"/>
      <c r="O7" s="1"/>
      <c r="S7" s="3"/>
      <c r="T7" s="3"/>
    </row>
    <row r="8" spans="2:20" x14ac:dyDescent="0.3">
      <c r="B8" s="98"/>
      <c r="C8" s="138" t="s">
        <v>7</v>
      </c>
      <c r="D8" s="139"/>
      <c r="E8" s="139"/>
      <c r="F8" s="139"/>
      <c r="G8" s="139"/>
      <c r="H8" s="140"/>
      <c r="I8" s="46"/>
      <c r="J8" s="46"/>
      <c r="K8" s="46"/>
      <c r="L8" s="9"/>
      <c r="M8" s="3"/>
      <c r="N8" s="3"/>
      <c r="O8" s="1"/>
      <c r="S8" s="3"/>
      <c r="T8" s="3"/>
    </row>
    <row r="9" spans="2:20" x14ac:dyDescent="0.3">
      <c r="B9" s="99"/>
      <c r="C9" s="138" t="s">
        <v>8</v>
      </c>
      <c r="D9" s="139"/>
      <c r="E9" s="139"/>
      <c r="F9" s="139"/>
      <c r="G9" s="139"/>
      <c r="H9" s="140"/>
      <c r="I9" s="46"/>
      <c r="J9" s="46"/>
      <c r="K9" s="46"/>
      <c r="L9" s="9"/>
      <c r="M9" s="3"/>
      <c r="N9" s="3"/>
      <c r="O9" s="1"/>
      <c r="S9" s="3"/>
      <c r="T9" s="3"/>
    </row>
    <row r="10" spans="2:20" x14ac:dyDescent="0.3">
      <c r="B10" s="12"/>
      <c r="C10" s="138" t="s">
        <v>9</v>
      </c>
      <c r="D10" s="139"/>
      <c r="E10" s="139"/>
      <c r="F10" s="139"/>
      <c r="G10" s="139"/>
      <c r="H10" s="140"/>
      <c r="I10" s="46"/>
      <c r="J10" s="46"/>
      <c r="K10" s="46"/>
      <c r="L10" s="9"/>
      <c r="M10" s="3"/>
      <c r="N10" s="3"/>
      <c r="O10" s="1"/>
      <c r="S10" s="3"/>
      <c r="T10" s="3"/>
    </row>
    <row r="11" spans="2:20" x14ac:dyDescent="0.3">
      <c r="B11" s="13"/>
      <c r="C11" s="3"/>
      <c r="D11" s="3"/>
      <c r="E11" s="9"/>
      <c r="F11" s="9"/>
      <c r="G11" s="9"/>
      <c r="H11" s="9"/>
      <c r="I11" s="9"/>
      <c r="J11" s="9"/>
      <c r="K11" s="9"/>
      <c r="L11" s="9"/>
      <c r="M11" s="3"/>
      <c r="N11" s="3"/>
      <c r="O11" s="1"/>
      <c r="S11" s="3"/>
      <c r="T11" s="3"/>
    </row>
    <row r="12" spans="2:20" ht="27" customHeight="1" x14ac:dyDescent="0.3">
      <c r="B12" s="142" t="s">
        <v>10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3"/>
      <c r="O12" s="1"/>
      <c r="S12" s="3"/>
      <c r="T12" s="3"/>
    </row>
    <row r="13" spans="2:20" x14ac:dyDescent="0.3">
      <c r="B13" s="3"/>
      <c r="C13" s="14"/>
      <c r="D13" s="14"/>
      <c r="E13" s="19"/>
      <c r="F13" s="19"/>
      <c r="G13" s="19"/>
      <c r="H13" s="19"/>
      <c r="I13" s="19"/>
      <c r="J13" s="14" t="s">
        <v>11</v>
      </c>
      <c r="K13" s="15" t="s">
        <v>12</v>
      </c>
      <c r="L13" s="16" t="s">
        <v>13</v>
      </c>
      <c r="M13" s="3"/>
      <c r="N13" s="3"/>
      <c r="O13" s="1"/>
      <c r="S13" s="3"/>
      <c r="T13" s="3"/>
    </row>
    <row r="14" spans="2:20" x14ac:dyDescent="0.3">
      <c r="B14" s="13"/>
      <c r="C14" s="17"/>
      <c r="D14" s="17"/>
      <c r="E14" s="19"/>
      <c r="F14" s="19"/>
      <c r="G14" s="19"/>
      <c r="H14" s="19"/>
      <c r="I14" s="19"/>
      <c r="J14" s="17" t="s">
        <v>14</v>
      </c>
      <c r="K14" s="15" t="s">
        <v>15</v>
      </c>
      <c r="L14" s="16" t="s">
        <v>16</v>
      </c>
      <c r="M14" s="3"/>
      <c r="N14" s="3"/>
      <c r="O14" s="1"/>
      <c r="S14" s="3"/>
      <c r="T14" s="3"/>
    </row>
    <row r="15" spans="2:20" ht="16.2" customHeight="1" thickBot="1" x14ac:dyDescent="0.35">
      <c r="B15" s="13"/>
      <c r="C15" s="18"/>
      <c r="D15" s="18"/>
      <c r="E15" s="73"/>
      <c r="F15" s="73"/>
      <c r="G15" s="73"/>
      <c r="H15" s="19"/>
      <c r="I15" s="19"/>
      <c r="J15" s="19"/>
      <c r="K15" s="19"/>
      <c r="L15" s="9"/>
      <c r="M15" s="3"/>
      <c r="N15" s="3"/>
      <c r="O15" s="1"/>
      <c r="S15" s="3"/>
      <c r="T15" s="3"/>
    </row>
    <row r="16" spans="2:20" ht="21" customHeight="1" thickBot="1" x14ac:dyDescent="0.4">
      <c r="B16" s="20"/>
      <c r="C16" s="21"/>
      <c r="D16" s="21"/>
      <c r="E16" s="154" t="s">
        <v>17</v>
      </c>
      <c r="F16" s="133"/>
      <c r="G16" s="133"/>
      <c r="H16" s="133"/>
      <c r="I16" s="133"/>
      <c r="J16" s="133"/>
      <c r="K16" s="133"/>
      <c r="L16" s="134"/>
      <c r="M16" s="22">
        <f>SUM(M31,M44,M65,M84)</f>
        <v>30</v>
      </c>
      <c r="N16" s="21"/>
      <c r="O16" s="23"/>
      <c r="Q16" s="24"/>
      <c r="S16" s="21"/>
      <c r="T16" s="21"/>
    </row>
    <row r="17" spans="2:17" ht="21" customHeight="1" thickBot="1" x14ac:dyDescent="0.4">
      <c r="B17" s="20"/>
      <c r="C17" s="21"/>
      <c r="D17" s="21"/>
      <c r="E17" s="151" t="s">
        <v>18</v>
      </c>
      <c r="F17" s="152"/>
      <c r="G17" s="152"/>
      <c r="H17" s="152"/>
      <c r="I17" s="152"/>
      <c r="J17" s="152"/>
      <c r="K17" s="152"/>
      <c r="L17" s="153"/>
      <c r="M17" s="25">
        <f>M16</f>
        <v>30</v>
      </c>
      <c r="N17" s="21"/>
      <c r="O17" s="23"/>
      <c r="Q17" s="24"/>
    </row>
    <row r="18" spans="2:17" ht="21" customHeight="1" thickBot="1" x14ac:dyDescent="0.4">
      <c r="B18" s="20"/>
      <c r="C18" s="21"/>
      <c r="D18" s="21"/>
      <c r="E18" s="26"/>
      <c r="F18" s="26"/>
      <c r="G18" s="26"/>
      <c r="H18" s="26"/>
      <c r="I18" s="26"/>
      <c r="J18" s="26"/>
      <c r="K18" s="26"/>
      <c r="L18" s="26"/>
      <c r="M18" s="27"/>
      <c r="N18" s="21"/>
      <c r="O18" s="23"/>
      <c r="Q18" s="24"/>
    </row>
    <row r="19" spans="2:17" ht="21.6" customHeight="1" thickBot="1" x14ac:dyDescent="0.45">
      <c r="B19" s="159" t="s">
        <v>19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7"/>
      <c r="N19" s="21"/>
      <c r="O19" s="23"/>
      <c r="Q19" s="24"/>
    </row>
    <row r="20" spans="2:17" ht="21" customHeight="1" thickBot="1" x14ac:dyDescent="0.4">
      <c r="B20" s="20"/>
      <c r="C20" s="21"/>
      <c r="D20" s="21"/>
      <c r="E20" s="26"/>
      <c r="F20" s="26"/>
      <c r="G20" s="26"/>
      <c r="H20" s="26"/>
      <c r="I20" s="26"/>
      <c r="J20" s="26"/>
      <c r="K20" s="26"/>
      <c r="L20" s="26"/>
      <c r="M20" s="27"/>
      <c r="N20" s="21"/>
      <c r="O20" s="23"/>
      <c r="Q20" s="24"/>
    </row>
    <row r="21" spans="2:17" ht="18" customHeight="1" thickBot="1" x14ac:dyDescent="0.35">
      <c r="B21" s="135" t="s">
        <v>20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7"/>
    </row>
    <row r="22" spans="2:17" ht="29.25" customHeight="1" thickBot="1" x14ac:dyDescent="0.35">
      <c r="B22" s="149" t="s">
        <v>21</v>
      </c>
      <c r="C22" s="150"/>
      <c r="D22" s="89" t="s">
        <v>22</v>
      </c>
      <c r="E22" s="60" t="s">
        <v>23</v>
      </c>
      <c r="F22" s="60" t="s">
        <v>24</v>
      </c>
      <c r="G22" s="89" t="s">
        <v>22</v>
      </c>
      <c r="H22" s="60" t="s">
        <v>25</v>
      </c>
      <c r="I22" s="60" t="s">
        <v>24</v>
      </c>
      <c r="J22" s="89" t="s">
        <v>22</v>
      </c>
      <c r="K22" s="60" t="s">
        <v>26</v>
      </c>
      <c r="L22" s="60" t="s">
        <v>24</v>
      </c>
      <c r="M22" s="61" t="s">
        <v>27</v>
      </c>
      <c r="P22" s="31" t="s">
        <v>28</v>
      </c>
      <c r="Q22" s="125" t="s">
        <v>29</v>
      </c>
    </row>
    <row r="23" spans="2:17" x14ac:dyDescent="0.3">
      <c r="B23" s="155" t="s">
        <v>30</v>
      </c>
      <c r="C23" s="156"/>
      <c r="D23" s="132">
        <v>560</v>
      </c>
      <c r="E23" s="133"/>
      <c r="F23" s="133"/>
      <c r="G23" s="133"/>
      <c r="H23" s="133"/>
      <c r="I23" s="133"/>
      <c r="J23" s="133"/>
      <c r="K23" s="134"/>
      <c r="L23" s="79" t="s">
        <v>31</v>
      </c>
      <c r="M23" s="80"/>
      <c r="P23" s="126" t="s">
        <v>32</v>
      </c>
      <c r="Q23" s="127" t="s">
        <v>33</v>
      </c>
    </row>
    <row r="24" spans="2:17" x14ac:dyDescent="0.3">
      <c r="B24" s="168" t="s">
        <v>34</v>
      </c>
      <c r="C24" s="140"/>
      <c r="D24" s="144">
        <v>12000</v>
      </c>
      <c r="E24" s="139"/>
      <c r="F24" s="139"/>
      <c r="G24" s="139"/>
      <c r="H24" s="139"/>
      <c r="I24" s="139"/>
      <c r="J24" s="139"/>
      <c r="K24" s="140"/>
      <c r="L24" s="45" t="s">
        <v>31</v>
      </c>
      <c r="M24" s="39"/>
      <c r="P24" s="32" t="s">
        <v>31</v>
      </c>
      <c r="Q24" s="128" t="s">
        <v>35</v>
      </c>
    </row>
    <row r="25" spans="2:17" ht="16.2" customHeight="1" thickBot="1" x14ac:dyDescent="0.35">
      <c r="B25" s="147" t="s">
        <v>36</v>
      </c>
      <c r="C25" s="148"/>
      <c r="D25" s="178">
        <v>10000</v>
      </c>
      <c r="E25" s="179"/>
      <c r="F25" s="179"/>
      <c r="G25" s="179"/>
      <c r="H25" s="179"/>
      <c r="I25" s="179"/>
      <c r="J25" s="179"/>
      <c r="K25" s="148"/>
      <c r="L25" s="82" t="s">
        <v>31</v>
      </c>
      <c r="M25" s="81"/>
      <c r="P25" s="32" t="s">
        <v>37</v>
      </c>
      <c r="Q25" s="128" t="s">
        <v>16</v>
      </c>
    </row>
    <row r="26" spans="2:17" x14ac:dyDescent="0.3">
      <c r="B26" s="180" t="s">
        <v>38</v>
      </c>
      <c r="C26" s="181"/>
      <c r="D26" s="56" t="s">
        <v>39</v>
      </c>
      <c r="E26" s="75" t="s">
        <v>120</v>
      </c>
      <c r="F26" s="74" t="s">
        <v>57</v>
      </c>
      <c r="G26" s="56" t="s">
        <v>40</v>
      </c>
      <c r="H26" s="75" t="s">
        <v>125</v>
      </c>
      <c r="I26" s="74" t="s">
        <v>57</v>
      </c>
      <c r="J26" s="57"/>
      <c r="K26" s="58"/>
      <c r="L26" s="85"/>
      <c r="M26" s="59" t="s">
        <v>41</v>
      </c>
      <c r="P26" s="32" t="s">
        <v>42</v>
      </c>
      <c r="Q26" s="128" t="s">
        <v>43</v>
      </c>
    </row>
    <row r="27" spans="2:17" x14ac:dyDescent="0.3">
      <c r="B27" s="157" t="s">
        <v>44</v>
      </c>
      <c r="C27" s="140"/>
      <c r="D27" s="49" t="s">
        <v>45</v>
      </c>
      <c r="E27" s="75" t="s">
        <v>121</v>
      </c>
      <c r="F27" s="75" t="s">
        <v>35</v>
      </c>
      <c r="G27" s="49" t="s">
        <v>46</v>
      </c>
      <c r="H27" s="75" t="s">
        <v>126</v>
      </c>
      <c r="I27" s="75" t="s">
        <v>43</v>
      </c>
      <c r="J27" s="50"/>
      <c r="K27" s="51"/>
      <c r="L27" s="86"/>
      <c r="M27" s="52" t="s">
        <v>41</v>
      </c>
      <c r="P27" s="32" t="s">
        <v>47</v>
      </c>
      <c r="Q27" s="128" t="s">
        <v>48</v>
      </c>
    </row>
    <row r="28" spans="2:17" x14ac:dyDescent="0.3">
      <c r="B28" s="157" t="s">
        <v>49</v>
      </c>
      <c r="C28" s="140"/>
      <c r="D28" s="56" t="s">
        <v>50</v>
      </c>
      <c r="E28" s="75" t="s">
        <v>122</v>
      </c>
      <c r="F28" s="75" t="s">
        <v>52</v>
      </c>
      <c r="G28" s="49" t="s">
        <v>51</v>
      </c>
      <c r="H28" s="75" t="s">
        <v>127</v>
      </c>
      <c r="I28" s="76" t="s">
        <v>128</v>
      </c>
      <c r="J28" s="50"/>
      <c r="K28" s="51"/>
      <c r="L28" s="87"/>
      <c r="M28" s="52" t="s">
        <v>41</v>
      </c>
      <c r="P28" s="32" t="s">
        <v>52</v>
      </c>
      <c r="Q28" s="128" t="s">
        <v>53</v>
      </c>
    </row>
    <row r="29" spans="2:17" ht="16.2" customHeight="1" thickBot="1" x14ac:dyDescent="0.35">
      <c r="B29" s="157" t="s">
        <v>54</v>
      </c>
      <c r="C29" s="140"/>
      <c r="D29" s="49" t="s">
        <v>55</v>
      </c>
      <c r="E29" s="75" t="s">
        <v>123</v>
      </c>
      <c r="F29" s="76" t="s">
        <v>16</v>
      </c>
      <c r="G29" s="49" t="s">
        <v>56</v>
      </c>
      <c r="H29" s="75" t="s">
        <v>123</v>
      </c>
      <c r="I29" s="76" t="s">
        <v>16</v>
      </c>
      <c r="J29" s="50"/>
      <c r="K29" s="51"/>
      <c r="L29" s="87"/>
      <c r="M29" s="52" t="s">
        <v>41</v>
      </c>
      <c r="P29" s="32" t="s">
        <v>57</v>
      </c>
      <c r="Q29" s="129" t="s">
        <v>58</v>
      </c>
    </row>
    <row r="30" spans="2:17" ht="16.2" customHeight="1" thickBot="1" x14ac:dyDescent="0.35">
      <c r="B30" s="177" t="s">
        <v>59</v>
      </c>
      <c r="C30" s="153"/>
      <c r="D30" s="53" t="s">
        <v>60</v>
      </c>
      <c r="E30" s="83" t="s">
        <v>124</v>
      </c>
      <c r="F30" s="77" t="s">
        <v>31</v>
      </c>
      <c r="G30" s="53" t="s">
        <v>61</v>
      </c>
      <c r="H30" s="84" t="s">
        <v>129</v>
      </c>
      <c r="I30" s="77" t="s">
        <v>48</v>
      </c>
      <c r="J30" s="54"/>
      <c r="K30" s="48"/>
      <c r="L30" s="88"/>
      <c r="M30" s="55" t="s">
        <v>41</v>
      </c>
      <c r="P30" s="130" t="s">
        <v>43</v>
      </c>
    </row>
    <row r="31" spans="2:17" ht="16.2" customHeight="1" thickBot="1" x14ac:dyDescent="0.35">
      <c r="B31" s="20"/>
      <c r="C31" s="21"/>
      <c r="D31" s="21"/>
      <c r="E31" s="40"/>
      <c r="F31" s="40"/>
      <c r="G31" s="40"/>
      <c r="H31" s="40"/>
      <c r="I31" s="40"/>
      <c r="J31" s="40"/>
      <c r="K31" s="40"/>
      <c r="L31" s="41" t="s">
        <v>62</v>
      </c>
      <c r="M31" s="42">
        <v>10</v>
      </c>
      <c r="P31" s="32" t="s">
        <v>63</v>
      </c>
    </row>
    <row r="32" spans="2:17" x14ac:dyDescent="0.3">
      <c r="B32" s="20"/>
      <c r="C32" s="21"/>
      <c r="D32" s="21"/>
      <c r="E32" s="40"/>
      <c r="F32" s="40"/>
      <c r="G32" s="40"/>
      <c r="H32" s="40"/>
      <c r="I32" s="40"/>
      <c r="J32" s="40"/>
      <c r="K32" s="40"/>
      <c r="L32" s="62"/>
      <c r="M32" s="26"/>
      <c r="P32" s="32" t="s">
        <v>64</v>
      </c>
    </row>
    <row r="33" spans="2:20" x14ac:dyDescent="0.3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P33" s="32" t="s">
        <v>65</v>
      </c>
    </row>
    <row r="34" spans="2:20" ht="16.2" customHeight="1" thickBot="1" x14ac:dyDescent="0.35">
      <c r="P34" s="32" t="s">
        <v>66</v>
      </c>
    </row>
    <row r="35" spans="2:20" ht="18" customHeight="1" thickBot="1" x14ac:dyDescent="0.35">
      <c r="B35" s="135" t="s">
        <v>67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P35" s="44" t="s">
        <v>68</v>
      </c>
      <c r="S35" s="21"/>
      <c r="T35" s="21"/>
    </row>
    <row r="36" spans="2:20" ht="28.2" customHeight="1" thickBot="1" x14ac:dyDescent="0.35">
      <c r="B36" s="149" t="s">
        <v>21</v>
      </c>
      <c r="C36" s="150"/>
      <c r="D36" s="89" t="s">
        <v>22</v>
      </c>
      <c r="E36" s="60" t="s">
        <v>23</v>
      </c>
      <c r="F36" s="60" t="s">
        <v>24</v>
      </c>
      <c r="G36" s="89" t="s">
        <v>22</v>
      </c>
      <c r="H36" s="60" t="s">
        <v>25</v>
      </c>
      <c r="I36" s="60" t="s">
        <v>24</v>
      </c>
      <c r="J36" s="89" t="s">
        <v>22</v>
      </c>
      <c r="K36" s="60" t="s">
        <v>26</v>
      </c>
      <c r="L36" s="60" t="s">
        <v>24</v>
      </c>
      <c r="M36" s="61" t="s">
        <v>27</v>
      </c>
      <c r="N36" s="36"/>
      <c r="O36" s="23"/>
      <c r="Q36" s="24"/>
    </row>
    <row r="37" spans="2:20" x14ac:dyDescent="0.3">
      <c r="B37" s="155" t="s">
        <v>30</v>
      </c>
      <c r="C37" s="156"/>
      <c r="D37" s="132">
        <v>2700</v>
      </c>
      <c r="E37" s="133"/>
      <c r="F37" s="133"/>
      <c r="G37" s="133"/>
      <c r="H37" s="133"/>
      <c r="I37" s="133"/>
      <c r="J37" s="133"/>
      <c r="K37" s="134"/>
      <c r="L37" s="79" t="s">
        <v>31</v>
      </c>
      <c r="M37" s="80"/>
      <c r="P37" s="43"/>
    </row>
    <row r="38" spans="2:20" x14ac:dyDescent="0.3">
      <c r="B38" s="168" t="s">
        <v>34</v>
      </c>
      <c r="C38" s="140"/>
      <c r="D38" s="144">
        <v>1000</v>
      </c>
      <c r="E38" s="139"/>
      <c r="F38" s="139"/>
      <c r="G38" s="139"/>
      <c r="H38" s="139"/>
      <c r="I38" s="139"/>
      <c r="J38" s="139"/>
      <c r="K38" s="140"/>
      <c r="L38" s="45" t="s">
        <v>31</v>
      </c>
      <c r="M38" s="39"/>
      <c r="P38" s="43"/>
    </row>
    <row r="39" spans="2:20" ht="16.2" customHeight="1" thickBot="1" x14ac:dyDescent="0.35">
      <c r="B39" s="147" t="s">
        <v>69</v>
      </c>
      <c r="C39" s="148"/>
      <c r="D39" s="178">
        <v>3450</v>
      </c>
      <c r="E39" s="179"/>
      <c r="F39" s="179"/>
      <c r="G39" s="179"/>
      <c r="H39" s="179"/>
      <c r="I39" s="179"/>
      <c r="J39" s="179"/>
      <c r="K39" s="148"/>
      <c r="L39" s="82" t="s">
        <v>31</v>
      </c>
      <c r="M39" s="81"/>
      <c r="P39" s="43"/>
    </row>
    <row r="40" spans="2:20" x14ac:dyDescent="0.3">
      <c r="B40" s="160" t="s">
        <v>70</v>
      </c>
      <c r="C40" s="156"/>
      <c r="D40" s="63"/>
      <c r="E40" s="47"/>
      <c r="F40" s="47"/>
      <c r="G40" s="64" t="s">
        <v>71</v>
      </c>
      <c r="H40" s="121" t="s">
        <v>132</v>
      </c>
      <c r="I40" s="121" t="s">
        <v>128</v>
      </c>
      <c r="J40" s="63"/>
      <c r="K40" s="47"/>
      <c r="L40" s="122"/>
      <c r="M40" s="65" t="s">
        <v>72</v>
      </c>
      <c r="S40" s="21"/>
      <c r="T40" s="37"/>
    </row>
    <row r="41" spans="2:20" x14ac:dyDescent="0.3">
      <c r="B41" s="157" t="s">
        <v>73</v>
      </c>
      <c r="C41" s="140"/>
      <c r="D41" s="57"/>
      <c r="E41" s="123"/>
      <c r="F41" s="123"/>
      <c r="G41" s="96"/>
      <c r="H41" s="97"/>
      <c r="I41" s="97"/>
      <c r="J41" s="50"/>
      <c r="K41" s="51"/>
      <c r="L41" s="86"/>
      <c r="M41" s="59" t="s">
        <v>74</v>
      </c>
      <c r="S41" s="21"/>
      <c r="T41" s="37"/>
    </row>
    <row r="42" spans="2:20" x14ac:dyDescent="0.3">
      <c r="B42" s="164" t="s">
        <v>75</v>
      </c>
      <c r="C42" s="140"/>
      <c r="D42" s="49" t="s">
        <v>76</v>
      </c>
      <c r="E42" s="90" t="s">
        <v>130</v>
      </c>
      <c r="F42" s="90" t="s">
        <v>16</v>
      </c>
      <c r="G42" s="49" t="s">
        <v>77</v>
      </c>
      <c r="H42" s="90" t="s">
        <v>133</v>
      </c>
      <c r="I42" s="90" t="s">
        <v>16</v>
      </c>
      <c r="J42" s="50"/>
      <c r="K42" s="51"/>
      <c r="L42" s="87"/>
      <c r="M42" s="52" t="s">
        <v>41</v>
      </c>
      <c r="S42" s="21"/>
      <c r="T42" s="21"/>
    </row>
    <row r="43" spans="2:20" ht="16.2" customHeight="1" thickBot="1" x14ac:dyDescent="0.35">
      <c r="B43" s="158" t="s">
        <v>78</v>
      </c>
      <c r="C43" s="148"/>
      <c r="D43" s="53" t="s">
        <v>79</v>
      </c>
      <c r="E43" s="131" t="s">
        <v>131</v>
      </c>
      <c r="F43" s="92" t="s">
        <v>35</v>
      </c>
      <c r="G43" s="53" t="s">
        <v>80</v>
      </c>
      <c r="H43" s="91" t="s">
        <v>134</v>
      </c>
      <c r="I43" s="91" t="s">
        <v>128</v>
      </c>
      <c r="J43" s="54"/>
      <c r="K43" s="48"/>
      <c r="L43" s="124"/>
      <c r="M43" s="55" t="s">
        <v>41</v>
      </c>
      <c r="S43" s="21"/>
      <c r="T43" s="21"/>
    </row>
    <row r="44" spans="2:20" ht="16.2" customHeight="1" thickBot="1" x14ac:dyDescent="0.35">
      <c r="B44" s="20"/>
      <c r="C44" s="21"/>
      <c r="D44" s="21"/>
      <c r="E44" s="40"/>
      <c r="F44" s="40"/>
      <c r="G44" s="40"/>
      <c r="H44" s="40"/>
      <c r="I44" s="40"/>
      <c r="J44" s="40"/>
      <c r="K44" s="40"/>
      <c r="L44" s="41" t="s">
        <v>62</v>
      </c>
      <c r="M44" s="42">
        <v>5</v>
      </c>
      <c r="S44" s="21"/>
      <c r="T44" s="21"/>
    </row>
    <row r="45" spans="2:20" x14ac:dyDescent="0.3">
      <c r="B45" s="20"/>
      <c r="C45" s="21"/>
      <c r="D45" s="21"/>
      <c r="E45" s="40"/>
      <c r="F45" s="40"/>
      <c r="G45" s="40"/>
      <c r="H45" s="40"/>
      <c r="I45" s="40"/>
      <c r="J45" s="40"/>
      <c r="K45" s="40"/>
      <c r="L45" s="62"/>
      <c r="M45" s="26"/>
    </row>
    <row r="46" spans="2:20" x14ac:dyDescent="0.3"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2:20" ht="16.2" customHeight="1" thickBot="1" x14ac:dyDescent="0.35"/>
    <row r="48" spans="2:20" ht="18" customHeight="1" thickBot="1" x14ac:dyDescent="0.35">
      <c r="B48" s="135" t="s">
        <v>81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7"/>
      <c r="Q48" s="24"/>
      <c r="R48" s="21"/>
      <c r="T48" s="21"/>
    </row>
    <row r="49" spans="2:20" ht="28.2" customHeight="1" thickBot="1" x14ac:dyDescent="0.35">
      <c r="B49" s="145" t="s">
        <v>21</v>
      </c>
      <c r="C49" s="146"/>
      <c r="D49" s="89" t="s">
        <v>22</v>
      </c>
      <c r="E49" s="29" t="s">
        <v>23</v>
      </c>
      <c r="F49" s="60" t="s">
        <v>24</v>
      </c>
      <c r="G49" s="89" t="s">
        <v>22</v>
      </c>
      <c r="H49" s="29" t="s">
        <v>25</v>
      </c>
      <c r="I49" s="60" t="s">
        <v>24</v>
      </c>
      <c r="J49" s="89" t="s">
        <v>22</v>
      </c>
      <c r="K49" s="29" t="s">
        <v>26</v>
      </c>
      <c r="L49" s="29" t="s">
        <v>24</v>
      </c>
      <c r="M49" s="30" t="s">
        <v>27</v>
      </c>
      <c r="Q49" s="24"/>
      <c r="R49" s="21"/>
      <c r="T49" s="21"/>
    </row>
    <row r="50" spans="2:20" x14ac:dyDescent="0.3">
      <c r="B50" s="155" t="s">
        <v>30</v>
      </c>
      <c r="C50" s="156"/>
      <c r="D50" s="132">
        <v>2700</v>
      </c>
      <c r="E50" s="133"/>
      <c r="F50" s="133"/>
      <c r="G50" s="133"/>
      <c r="H50" s="133"/>
      <c r="I50" s="133"/>
      <c r="J50" s="133"/>
      <c r="K50" s="134"/>
      <c r="L50" s="79" t="s">
        <v>31</v>
      </c>
      <c r="M50" s="80"/>
      <c r="Q50" s="24"/>
      <c r="R50" s="21"/>
      <c r="T50" s="21"/>
    </row>
    <row r="51" spans="2:20" ht="16.2" customHeight="1" thickBot="1" x14ac:dyDescent="0.35">
      <c r="B51" s="147">
        <v>2</v>
      </c>
      <c r="C51" s="148"/>
      <c r="D51" s="144">
        <v>1000</v>
      </c>
      <c r="E51" s="139"/>
      <c r="F51" s="139"/>
      <c r="G51" s="139"/>
      <c r="H51" s="139"/>
      <c r="I51" s="139"/>
      <c r="J51" s="139"/>
      <c r="K51" s="140"/>
      <c r="L51" s="45" t="s">
        <v>31</v>
      </c>
      <c r="M51" s="39"/>
      <c r="Q51" s="24"/>
      <c r="R51" s="21"/>
      <c r="T51" s="21"/>
    </row>
    <row r="52" spans="2:20" x14ac:dyDescent="0.3">
      <c r="B52" s="160" t="s">
        <v>82</v>
      </c>
      <c r="C52" s="156"/>
      <c r="D52" s="63"/>
      <c r="E52" s="47"/>
      <c r="F52" s="47"/>
      <c r="G52" s="64" t="s">
        <v>83</v>
      </c>
      <c r="H52" s="95" t="s">
        <v>136</v>
      </c>
      <c r="I52" s="95" t="s">
        <v>137</v>
      </c>
      <c r="J52" s="64" t="s">
        <v>84</v>
      </c>
      <c r="K52" s="105"/>
      <c r="L52" s="105"/>
      <c r="M52" s="65" t="s">
        <v>85</v>
      </c>
      <c r="Q52" s="24"/>
      <c r="R52" s="21"/>
    </row>
    <row r="53" spans="2:20" x14ac:dyDescent="0.3">
      <c r="B53" s="166" t="s">
        <v>73</v>
      </c>
      <c r="C53" s="167"/>
      <c r="D53" s="110"/>
      <c r="E53" s="78"/>
      <c r="F53" s="78"/>
      <c r="G53" s="111"/>
      <c r="H53" s="112"/>
      <c r="I53" s="112"/>
      <c r="J53" s="113" t="s">
        <v>86</v>
      </c>
      <c r="K53" s="114"/>
      <c r="L53" s="114"/>
      <c r="M53" s="52" t="s">
        <v>74</v>
      </c>
      <c r="Q53" s="24"/>
      <c r="R53" s="21"/>
    </row>
    <row r="54" spans="2:20" x14ac:dyDescent="0.3">
      <c r="B54" s="141" t="s">
        <v>87</v>
      </c>
      <c r="C54" s="140"/>
      <c r="D54" s="50"/>
      <c r="E54" s="51"/>
      <c r="F54" s="51"/>
      <c r="G54" s="49" t="s">
        <v>88</v>
      </c>
      <c r="H54" s="115" t="s">
        <v>135</v>
      </c>
      <c r="I54" s="115" t="s">
        <v>16</v>
      </c>
      <c r="J54" s="49" t="s">
        <v>89</v>
      </c>
      <c r="K54" s="106"/>
      <c r="L54" s="106"/>
      <c r="M54" s="52" t="s">
        <v>85</v>
      </c>
      <c r="Q54" s="24"/>
      <c r="R54" s="21"/>
    </row>
    <row r="55" spans="2:20" x14ac:dyDescent="0.3">
      <c r="B55" s="141" t="s">
        <v>90</v>
      </c>
      <c r="C55" s="140"/>
      <c r="D55" s="50"/>
      <c r="E55" s="51"/>
      <c r="F55" s="51"/>
      <c r="G55" s="49" t="s">
        <v>91</v>
      </c>
      <c r="H55" s="115" t="s">
        <v>138</v>
      </c>
      <c r="I55" s="115" t="s">
        <v>128</v>
      </c>
      <c r="J55" s="49" t="s">
        <v>92</v>
      </c>
      <c r="K55" s="106"/>
      <c r="L55" s="106"/>
      <c r="M55" s="52" t="s">
        <v>72</v>
      </c>
      <c r="Q55" s="24"/>
      <c r="R55" s="21"/>
    </row>
    <row r="56" spans="2:20" x14ac:dyDescent="0.3">
      <c r="B56" s="141" t="s">
        <v>93</v>
      </c>
      <c r="C56" s="140"/>
      <c r="D56" s="50"/>
      <c r="E56" s="51"/>
      <c r="F56" s="51"/>
      <c r="G56" s="49" t="s">
        <v>94</v>
      </c>
      <c r="H56" s="115" t="s">
        <v>139</v>
      </c>
      <c r="I56" s="115" t="s">
        <v>137</v>
      </c>
      <c r="J56" s="49" t="s">
        <v>95</v>
      </c>
      <c r="K56" s="106"/>
      <c r="L56" s="106"/>
      <c r="M56" s="52" t="s">
        <v>85</v>
      </c>
      <c r="Q56" s="24"/>
      <c r="R56" s="21"/>
    </row>
    <row r="57" spans="2:20" x14ac:dyDescent="0.3">
      <c r="B57" s="141" t="s">
        <v>73</v>
      </c>
      <c r="C57" s="140"/>
      <c r="D57" s="50"/>
      <c r="E57" s="51"/>
      <c r="F57" s="51"/>
      <c r="G57" s="93"/>
      <c r="H57" s="116"/>
      <c r="I57" s="116"/>
      <c r="J57" s="49" t="s">
        <v>96</v>
      </c>
      <c r="K57" s="106"/>
      <c r="L57" s="106"/>
      <c r="M57" s="52" t="s">
        <v>74</v>
      </c>
      <c r="Q57" s="24"/>
      <c r="R57" s="21"/>
    </row>
    <row r="58" spans="2:20" x14ac:dyDescent="0.3">
      <c r="B58" s="141" t="s">
        <v>97</v>
      </c>
      <c r="C58" s="140"/>
      <c r="D58" s="50"/>
      <c r="E58" s="51"/>
      <c r="F58" s="51"/>
      <c r="G58" s="49" t="s">
        <v>98</v>
      </c>
      <c r="H58" s="115" t="s">
        <v>140</v>
      </c>
      <c r="I58" s="115" t="s">
        <v>137</v>
      </c>
      <c r="J58" s="49" t="s">
        <v>99</v>
      </c>
      <c r="K58" s="106"/>
      <c r="L58" s="106"/>
      <c r="M58" s="52" t="s">
        <v>85</v>
      </c>
      <c r="Q58" s="24"/>
      <c r="R58" s="21"/>
    </row>
    <row r="59" spans="2:20" ht="27.6" x14ac:dyDescent="0.3">
      <c r="B59" s="141" t="s">
        <v>100</v>
      </c>
      <c r="C59" s="140"/>
      <c r="D59" s="50"/>
      <c r="E59" s="51"/>
      <c r="F59" s="51"/>
      <c r="G59" s="49" t="s">
        <v>101</v>
      </c>
      <c r="H59" s="115" t="s">
        <v>144</v>
      </c>
      <c r="I59" s="115" t="s">
        <v>52</v>
      </c>
      <c r="J59" s="49" t="s">
        <v>102</v>
      </c>
      <c r="K59" s="106"/>
      <c r="L59" s="106"/>
      <c r="M59" s="52" t="s">
        <v>72</v>
      </c>
      <c r="Q59" s="24"/>
      <c r="R59" s="21"/>
    </row>
    <row r="60" spans="2:20" x14ac:dyDescent="0.3">
      <c r="B60" s="141" t="s">
        <v>70</v>
      </c>
      <c r="C60" s="140"/>
      <c r="D60" s="50"/>
      <c r="E60" s="51"/>
      <c r="F60" s="51"/>
      <c r="G60" s="49" t="s">
        <v>103</v>
      </c>
      <c r="H60" s="115" t="s">
        <v>142</v>
      </c>
      <c r="I60" s="115" t="s">
        <v>137</v>
      </c>
      <c r="J60" s="49" t="s">
        <v>104</v>
      </c>
      <c r="K60" s="106"/>
      <c r="L60" s="106"/>
      <c r="M60" s="52" t="s">
        <v>85</v>
      </c>
      <c r="Q60" s="24"/>
      <c r="R60" s="21"/>
    </row>
    <row r="61" spans="2:20" x14ac:dyDescent="0.3">
      <c r="B61" s="141" t="s">
        <v>73</v>
      </c>
      <c r="C61" s="140"/>
      <c r="D61" s="50"/>
      <c r="E61" s="51"/>
      <c r="F61" s="51"/>
      <c r="G61" s="93"/>
      <c r="H61" s="116"/>
      <c r="I61" s="116"/>
      <c r="J61" s="49" t="s">
        <v>105</v>
      </c>
      <c r="K61" s="106"/>
      <c r="L61" s="106"/>
      <c r="M61" s="52" t="s">
        <v>74</v>
      </c>
      <c r="Q61" s="24"/>
      <c r="R61" s="21"/>
    </row>
    <row r="62" spans="2:20" x14ac:dyDescent="0.3">
      <c r="B62" s="141" t="s">
        <v>75</v>
      </c>
      <c r="C62" s="140"/>
      <c r="D62" s="50"/>
      <c r="E62" s="51"/>
      <c r="F62" s="51"/>
      <c r="G62" s="49" t="s">
        <v>106</v>
      </c>
      <c r="H62" s="115" t="s">
        <v>141</v>
      </c>
      <c r="I62" s="115" t="s">
        <v>16</v>
      </c>
      <c r="J62" s="49" t="s">
        <v>107</v>
      </c>
      <c r="K62" s="106"/>
      <c r="L62" s="106"/>
      <c r="M62" s="52" t="s">
        <v>85</v>
      </c>
      <c r="Q62" s="24"/>
      <c r="R62" s="21"/>
    </row>
    <row r="63" spans="2:20" x14ac:dyDescent="0.3">
      <c r="B63" s="141" t="s">
        <v>78</v>
      </c>
      <c r="C63" s="140"/>
      <c r="D63" s="50"/>
      <c r="E63" s="51"/>
      <c r="F63" s="51"/>
      <c r="G63" s="49" t="s">
        <v>108</v>
      </c>
      <c r="H63" s="115" t="s">
        <v>143</v>
      </c>
      <c r="I63" s="115" t="s">
        <v>128</v>
      </c>
      <c r="J63" s="49" t="s">
        <v>109</v>
      </c>
      <c r="K63" s="106"/>
      <c r="L63" s="106"/>
      <c r="M63" s="52" t="s">
        <v>72</v>
      </c>
      <c r="Q63" s="24"/>
      <c r="R63" s="21"/>
    </row>
    <row r="64" spans="2:20" ht="16.2" customHeight="1" thickBot="1" x14ac:dyDescent="0.35">
      <c r="B64" s="176" t="s">
        <v>110</v>
      </c>
      <c r="C64" s="153"/>
      <c r="D64" s="54"/>
      <c r="E64" s="48"/>
      <c r="F64" s="48"/>
      <c r="G64" s="94"/>
      <c r="H64" s="117"/>
      <c r="I64" s="117"/>
      <c r="J64" s="53" t="s">
        <v>111</v>
      </c>
      <c r="K64" s="107"/>
      <c r="L64" s="107"/>
      <c r="M64" s="55" t="s">
        <v>74</v>
      </c>
      <c r="Q64" s="24"/>
      <c r="R64" s="21"/>
    </row>
    <row r="65" spans="2:20" ht="16.2" customHeight="1" thickBot="1" x14ac:dyDescent="0.35">
      <c r="B65" s="20"/>
      <c r="C65" s="21"/>
      <c r="D65" s="21"/>
      <c r="E65" s="40"/>
      <c r="F65" s="40"/>
      <c r="G65" s="40"/>
      <c r="H65" s="40"/>
      <c r="I65" s="40"/>
      <c r="J65" s="40"/>
      <c r="K65" s="40"/>
      <c r="L65" s="41" t="s">
        <v>62</v>
      </c>
      <c r="M65" s="42">
        <v>15</v>
      </c>
      <c r="Q65" s="24"/>
      <c r="R65" s="21"/>
    </row>
    <row r="66" spans="2:20" x14ac:dyDescent="0.3">
      <c r="B66" s="20"/>
      <c r="C66" s="21"/>
      <c r="D66" s="21"/>
      <c r="E66" s="40"/>
      <c r="F66" s="40"/>
      <c r="G66" s="40"/>
      <c r="H66" s="40"/>
      <c r="I66" s="40"/>
      <c r="J66" s="40"/>
      <c r="K66" s="40"/>
      <c r="L66" s="62"/>
      <c r="M66" s="26"/>
      <c r="Q66" s="24"/>
      <c r="R66" s="21"/>
    </row>
    <row r="67" spans="2:20" x14ac:dyDescent="0.3"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Q67" s="24"/>
      <c r="R67" s="21"/>
    </row>
    <row r="68" spans="2:20" x14ac:dyDescent="0.3">
      <c r="Q68" s="24"/>
      <c r="R68" s="21"/>
    </row>
    <row r="69" spans="2:20" ht="21" customHeight="1" x14ac:dyDescent="0.4">
      <c r="B69" s="159" t="s">
        <v>112</v>
      </c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7"/>
      <c r="Q69" s="24"/>
      <c r="R69" s="21"/>
    </row>
    <row r="70" spans="2:20" ht="16.2" customHeight="1" thickBot="1" x14ac:dyDescent="0.35">
      <c r="Q70" s="24"/>
      <c r="R70" s="38"/>
    </row>
    <row r="71" spans="2:20" ht="18" customHeight="1" thickBot="1" x14ac:dyDescent="0.35">
      <c r="B71" s="135" t="s">
        <v>113</v>
      </c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7"/>
      <c r="Q71" s="24"/>
      <c r="R71" s="21"/>
      <c r="T71" s="21"/>
    </row>
    <row r="72" spans="2:20" ht="28.2" customHeight="1" thickBot="1" x14ac:dyDescent="0.35">
      <c r="B72" s="145" t="s">
        <v>21</v>
      </c>
      <c r="C72" s="146"/>
      <c r="D72" s="89" t="s">
        <v>22</v>
      </c>
      <c r="E72" s="29" t="s">
        <v>23</v>
      </c>
      <c r="F72" s="60" t="s">
        <v>24</v>
      </c>
      <c r="G72" s="89" t="s">
        <v>22</v>
      </c>
      <c r="H72" s="29" t="s">
        <v>25</v>
      </c>
      <c r="I72" s="60" t="s">
        <v>24</v>
      </c>
      <c r="J72" s="89" t="s">
        <v>22</v>
      </c>
      <c r="K72" s="29" t="s">
        <v>26</v>
      </c>
      <c r="L72" s="29" t="s">
        <v>24</v>
      </c>
      <c r="M72" s="30" t="s">
        <v>27</v>
      </c>
      <c r="Q72" s="24"/>
      <c r="R72" s="21"/>
      <c r="T72" s="21"/>
    </row>
    <row r="73" spans="2:20" x14ac:dyDescent="0.3">
      <c r="B73" s="155" t="s">
        <v>30</v>
      </c>
      <c r="C73" s="156"/>
      <c r="D73" s="132">
        <v>2700</v>
      </c>
      <c r="E73" s="133"/>
      <c r="F73" s="133"/>
      <c r="G73" s="133"/>
      <c r="H73" s="133"/>
      <c r="I73" s="133"/>
      <c r="J73" s="133"/>
      <c r="K73" s="134"/>
      <c r="L73" s="79" t="s">
        <v>31</v>
      </c>
      <c r="M73" s="80"/>
      <c r="Q73" s="24"/>
      <c r="R73" s="21"/>
      <c r="T73" s="21"/>
    </row>
    <row r="74" spans="2:20" ht="16.2" customHeight="1" thickBot="1" x14ac:dyDescent="0.35">
      <c r="B74" s="173">
        <v>2</v>
      </c>
      <c r="C74" s="167"/>
      <c r="D74" s="174">
        <v>1000</v>
      </c>
      <c r="E74" s="175"/>
      <c r="F74" s="175"/>
      <c r="G74" s="175"/>
      <c r="H74" s="175"/>
      <c r="I74" s="175"/>
      <c r="J74" s="175"/>
      <c r="K74" s="167"/>
      <c r="L74" s="118" t="s">
        <v>31</v>
      </c>
      <c r="M74" s="119"/>
      <c r="Q74" s="24"/>
      <c r="R74" s="21"/>
      <c r="T74" s="21"/>
    </row>
    <row r="75" spans="2:20" ht="16.2" customHeight="1" thickBot="1" x14ac:dyDescent="0.35">
      <c r="B75" s="170" t="s">
        <v>82</v>
      </c>
      <c r="C75" s="150"/>
      <c r="D75" s="66"/>
      <c r="E75" s="67"/>
      <c r="F75" s="67"/>
      <c r="G75" s="66"/>
      <c r="H75" s="67"/>
      <c r="I75" s="67"/>
      <c r="J75" s="68" t="s">
        <v>114</v>
      </c>
      <c r="K75" s="120"/>
      <c r="L75" s="120"/>
      <c r="M75" s="69" t="s">
        <v>74</v>
      </c>
      <c r="Q75" s="24"/>
      <c r="R75" s="21"/>
    </row>
    <row r="77" spans="2:20" x14ac:dyDescent="0.3">
      <c r="B77" s="33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5"/>
    </row>
    <row r="78" spans="2:20" ht="16.2" customHeight="1" thickBot="1" x14ac:dyDescent="0.35"/>
    <row r="79" spans="2:20" ht="21.6" customHeight="1" thickBot="1" x14ac:dyDescent="0.45">
      <c r="B79" s="159" t="s">
        <v>115</v>
      </c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7"/>
    </row>
    <row r="80" spans="2:20" ht="16.2" customHeight="1" thickBot="1" x14ac:dyDescent="0.35"/>
    <row r="81" spans="2:13" ht="18" customHeight="1" thickBot="1" x14ac:dyDescent="0.35">
      <c r="B81" s="135" t="s">
        <v>116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7"/>
    </row>
    <row r="82" spans="2:13" ht="28.2" customHeight="1" thickBot="1" x14ac:dyDescent="0.35">
      <c r="B82" s="149" t="s">
        <v>21</v>
      </c>
      <c r="C82" s="150"/>
      <c r="D82" s="89" t="s">
        <v>22</v>
      </c>
      <c r="E82" s="60" t="s">
        <v>23</v>
      </c>
      <c r="F82" s="60" t="s">
        <v>24</v>
      </c>
      <c r="G82" s="89" t="s">
        <v>22</v>
      </c>
      <c r="H82" s="60" t="s">
        <v>25</v>
      </c>
      <c r="I82" s="60" t="s">
        <v>24</v>
      </c>
      <c r="J82" s="89" t="s">
        <v>22</v>
      </c>
      <c r="K82" s="60" t="s">
        <v>26</v>
      </c>
      <c r="L82" s="60" t="s">
        <v>24</v>
      </c>
      <c r="M82" s="61" t="s">
        <v>27</v>
      </c>
    </row>
    <row r="83" spans="2:13" ht="16.2" customHeight="1" thickBot="1" x14ac:dyDescent="0.35">
      <c r="B83" s="172" t="s">
        <v>117</v>
      </c>
      <c r="C83" s="150"/>
      <c r="D83" s="66"/>
      <c r="E83" s="67"/>
      <c r="F83" s="67"/>
      <c r="G83" s="66"/>
      <c r="H83" s="67"/>
      <c r="I83" s="67"/>
      <c r="J83" s="68" t="s">
        <v>118</v>
      </c>
      <c r="K83" s="108"/>
      <c r="L83" s="109"/>
      <c r="M83" s="69" t="s">
        <v>74</v>
      </c>
    </row>
    <row r="84" spans="2:13" x14ac:dyDescent="0.3">
      <c r="B84" s="20"/>
      <c r="C84" s="21"/>
      <c r="D84" s="21"/>
      <c r="E84" s="40"/>
      <c r="F84" s="40"/>
      <c r="G84" s="40"/>
      <c r="H84" s="40"/>
      <c r="I84" s="40"/>
      <c r="J84" s="40"/>
      <c r="K84" s="40"/>
      <c r="L84" s="41" t="s">
        <v>62</v>
      </c>
      <c r="M84" s="42">
        <v>0</v>
      </c>
    </row>
    <row r="86" spans="2:13" x14ac:dyDescent="0.3">
      <c r="B86" s="33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5"/>
    </row>
    <row r="87" spans="2:13" ht="16.2" customHeight="1" thickBot="1" x14ac:dyDescent="0.35"/>
    <row r="88" spans="2:13" ht="18" customHeight="1" thickBot="1" x14ac:dyDescent="0.35">
      <c r="B88" s="135" t="s">
        <v>119</v>
      </c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7"/>
    </row>
    <row r="90" spans="2:13" x14ac:dyDescent="0.3"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5"/>
    </row>
  </sheetData>
  <mergeCells count="71">
    <mergeCell ref="B75:C75"/>
    <mergeCell ref="B4:M4"/>
    <mergeCell ref="B49:C49"/>
    <mergeCell ref="B83:C83"/>
    <mergeCell ref="B74:C74"/>
    <mergeCell ref="B55:C55"/>
    <mergeCell ref="C6:H6"/>
    <mergeCell ref="B81:M81"/>
    <mergeCell ref="D74:K74"/>
    <mergeCell ref="B64:C64"/>
    <mergeCell ref="B30:C30"/>
    <mergeCell ref="D39:K39"/>
    <mergeCell ref="D25:K25"/>
    <mergeCell ref="B24:C24"/>
    <mergeCell ref="B26:C26"/>
    <mergeCell ref="B51:C51"/>
    <mergeCell ref="B2:C2"/>
    <mergeCell ref="B19:M19"/>
    <mergeCell ref="E1:F1"/>
    <mergeCell ref="B42:C42"/>
    <mergeCell ref="B61:C61"/>
    <mergeCell ref="B23:C23"/>
    <mergeCell ref="B60:C60"/>
    <mergeCell ref="C8:H8"/>
    <mergeCell ref="B57:C57"/>
    <mergeCell ref="B1:C1"/>
    <mergeCell ref="B53:C53"/>
    <mergeCell ref="C7:H7"/>
    <mergeCell ref="B38:C38"/>
    <mergeCell ref="B29:C29"/>
    <mergeCell ref="E2:F2"/>
    <mergeCell ref="B21:M21"/>
    <mergeCell ref="B88:M88"/>
    <mergeCell ref="B27:C27"/>
    <mergeCell ref="B56:C56"/>
    <mergeCell ref="B43:C43"/>
    <mergeCell ref="B58:C58"/>
    <mergeCell ref="B39:C39"/>
    <mergeCell ref="B69:M69"/>
    <mergeCell ref="B52:C52"/>
    <mergeCell ref="B82:C82"/>
    <mergeCell ref="B73:C73"/>
    <mergeCell ref="B28:C28"/>
    <mergeCell ref="B79:M79"/>
    <mergeCell ref="B40:C40"/>
    <mergeCell ref="D37:K37"/>
    <mergeCell ref="B35:M35"/>
    <mergeCell ref="D73:K73"/>
    <mergeCell ref="B72:C72"/>
    <mergeCell ref="B25:C25"/>
    <mergeCell ref="B59:C59"/>
    <mergeCell ref="C9:H9"/>
    <mergeCell ref="B22:C22"/>
    <mergeCell ref="E17:L17"/>
    <mergeCell ref="D24:K24"/>
    <mergeCell ref="B71:M71"/>
    <mergeCell ref="D38:K38"/>
    <mergeCell ref="B36:C36"/>
    <mergeCell ref="E16:L16"/>
    <mergeCell ref="B50:C50"/>
    <mergeCell ref="B63:C63"/>
    <mergeCell ref="D23:K23"/>
    <mergeCell ref="B41:C41"/>
    <mergeCell ref="B37:C37"/>
    <mergeCell ref="D50:K50"/>
    <mergeCell ref="B48:M48"/>
    <mergeCell ref="C10:H10"/>
    <mergeCell ref="B62:C62"/>
    <mergeCell ref="B54:C54"/>
    <mergeCell ref="B12:M12"/>
    <mergeCell ref="D51:K51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2025-02-12T07:55:43Z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