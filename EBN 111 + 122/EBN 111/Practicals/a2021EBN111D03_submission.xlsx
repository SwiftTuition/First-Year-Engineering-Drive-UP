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https://d.docs.live.net/fade48070aa831da/Desktop/EBN 111/AMS practicals/AMS prac 03/"/>
    </mc:Choice>
  </mc:AlternateContent>
  <xr:revisionPtr revIDLastSave="71" documentId="11_5BA749F9EF14D4BFB9ED53D53803821485F9EC5B" xr6:coauthVersionLast="47" xr6:coauthVersionMax="47" xr10:uidLastSave="{83325A46-4A8A-4B8B-9B74-7BFBF32CF842}"/>
  <bookViews>
    <workbookView xWindow="-110" yWindow="-110" windowWidth="19420" windowHeight="11020" tabRatio="500" xr2:uid="{00000000-000D-0000-FFFF-FFFF00000000}"/>
  </bookViews>
  <sheets>
    <sheet name="Sheet1" sheetId="1" r:id="rId1"/>
    <sheet name="Sheet2" sheetId="2" r:id="rId2"/>
  </sheets>
  <definedNames>
    <definedName name="_xlnm.Print_Area" localSheetId="0">Sheet1!$B$1:$F$15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2" i="1" l="1"/>
  <c r="F101" i="1"/>
  <c r="F85" i="1"/>
  <c r="F49" i="1"/>
  <c r="F15" i="1" s="1"/>
  <c r="F14" i="1" l="1"/>
</calcChain>
</file>

<file path=xl/sharedStrings.xml><?xml version="1.0" encoding="utf-8"?>
<sst xmlns="http://schemas.openxmlformats.org/spreadsheetml/2006/main" count="269" uniqueCount="147">
  <si>
    <t>2021EBN111D03</t>
  </si>
  <si>
    <t>Student number:</t>
  </si>
  <si>
    <t>21495034</t>
  </si>
  <si>
    <t>21/06/2021 - 24/06/2021</t>
  </si>
  <si>
    <t>Surname &amp; Initials:</t>
  </si>
  <si>
    <t>The general rules and guidelines of electronic evaluation for the Department of Electrical, Electronic and Computer Engineering applies. A copy of the document is available for download from the server.</t>
  </si>
  <si>
    <t>Cells in GREEN contain given parameter values and must not be changed.</t>
  </si>
  <si>
    <t>Your answers are only allowed to be input in the YELLOW cells.</t>
  </si>
  <si>
    <t xml:space="preserve">Cells in BLACK are the question separaters. </t>
  </si>
  <si>
    <t>Units:  For symbols such has Ω as µA you must use the corresponding codes in the list of valid units (Column I) to the right, i.e.,:  &amp;Omega; and &amp;mu;A</t>
  </si>
  <si>
    <t>Complex numbers:  Rectangular format:</t>
  </si>
  <si>
    <t>1.23 + j4.56</t>
  </si>
  <si>
    <t>k&amp;Omega;</t>
  </si>
  <si>
    <t>Polar Format:</t>
  </si>
  <si>
    <t>1.23&amp;ang;4.56&amp;deg;</t>
  </si>
  <si>
    <t>mA</t>
  </si>
  <si>
    <t>Total Marks:</t>
  </si>
  <si>
    <t>Full Marks:</t>
  </si>
  <si>
    <t>Questions 1 to 16</t>
  </si>
  <si>
    <t>Parameter / Description</t>
  </si>
  <si>
    <t>Numerical</t>
  </si>
  <si>
    <t>Units / Alphanumeric</t>
  </si>
  <si>
    <t>Marks</t>
  </si>
  <si>
    <t>List of examples of valid units</t>
  </si>
  <si>
    <t>R1</t>
  </si>
  <si>
    <t>kohm</t>
  </si>
  <si>
    <t>&amp;mu;V</t>
  </si>
  <si>
    <t>R2</t>
  </si>
  <si>
    <t>mV</t>
  </si>
  <si>
    <t>01</t>
  </si>
  <si>
    <t>A</t>
  </si>
  <si>
    <t>V</t>
  </si>
  <si>
    <t>Vin1a</t>
  </si>
  <si>
    <t>kV</t>
  </si>
  <si>
    <t>02</t>
  </si>
  <si>
    <t>VO</t>
  </si>
  <si>
    <t>MV</t>
  </si>
  <si>
    <t>Vin1b</t>
  </si>
  <si>
    <t>03</t>
  </si>
  <si>
    <t>s</t>
  </si>
  <si>
    <t>Vin1c</t>
  </si>
  <si>
    <t>ms</t>
  </si>
  <si>
    <t>04</t>
  </si>
  <si>
    <t>&amp;mu;s</t>
  </si>
  <si>
    <t>Vin1d</t>
  </si>
  <si>
    <t>05</t>
  </si>
  <si>
    <t>Hz</t>
  </si>
  <si>
    <t>Vin1e</t>
  </si>
  <si>
    <t>kHz</t>
  </si>
  <si>
    <t>06</t>
  </si>
  <si>
    <t>MHz</t>
  </si>
  <si>
    <t>Vin1f</t>
  </si>
  <si>
    <t>07</t>
  </si>
  <si>
    <t>Vin1g</t>
  </si>
  <si>
    <t>08</t>
  </si>
  <si>
    <t>Vin1h</t>
  </si>
  <si>
    <t>09</t>
  </si>
  <si>
    <t>Vin1i</t>
  </si>
  <si>
    <t>10</t>
  </si>
  <si>
    <t>Vin1j</t>
  </si>
  <si>
    <t>11</t>
  </si>
  <si>
    <t>Vin1k</t>
  </si>
  <si>
    <t>12</t>
  </si>
  <si>
    <t>Vin1l</t>
  </si>
  <si>
    <t>13</t>
  </si>
  <si>
    <t>14</t>
  </si>
  <si>
    <t>G</t>
  </si>
  <si>
    <t>15</t>
  </si>
  <si>
    <t>% diff</t>
  </si>
  <si>
    <t>%</t>
  </si>
  <si>
    <t>16</t>
  </si>
  <si>
    <t>Non-inverting amplifier</t>
  </si>
  <si>
    <t>Total</t>
  </si>
  <si>
    <t>Questions 17 to 32</t>
  </si>
  <si>
    <t>17</t>
  </si>
  <si>
    <t>Vin2a</t>
  </si>
  <si>
    <t>18</t>
  </si>
  <si>
    <t>Vin2b</t>
  </si>
  <si>
    <t>19</t>
  </si>
  <si>
    <t>Vin2c</t>
  </si>
  <si>
    <t>20</t>
  </si>
  <si>
    <t>Vin2d</t>
  </si>
  <si>
    <t>21</t>
  </si>
  <si>
    <t>Vin2e</t>
  </si>
  <si>
    <t>22</t>
  </si>
  <si>
    <t>Vin2f</t>
  </si>
  <si>
    <t>23</t>
  </si>
  <si>
    <t>Vin2g</t>
  </si>
  <si>
    <t>24</t>
  </si>
  <si>
    <t>Vin2h</t>
  </si>
  <si>
    <t>25</t>
  </si>
  <si>
    <t>Vin2i</t>
  </si>
  <si>
    <t>26</t>
  </si>
  <si>
    <t>Vin2j</t>
  </si>
  <si>
    <t>27</t>
  </si>
  <si>
    <t>Vin2k</t>
  </si>
  <si>
    <t>28</t>
  </si>
  <si>
    <t>Vin2l</t>
  </si>
  <si>
    <t>29</t>
  </si>
  <si>
    <t>30</t>
  </si>
  <si>
    <t>31</t>
  </si>
  <si>
    <t>32</t>
  </si>
  <si>
    <t>Questions 33 to 34</t>
  </si>
  <si>
    <t>R3</t>
  </si>
  <si>
    <t>R4</t>
  </si>
  <si>
    <t>Vpp</t>
  </si>
  <si>
    <t>Offset</t>
  </si>
  <si>
    <t>f</t>
  </si>
  <si>
    <t>t/div</t>
  </si>
  <si>
    <t>µs</t>
  </si>
  <si>
    <t>33</t>
  </si>
  <si>
    <t>V0pp</t>
  </si>
  <si>
    <t>34</t>
  </si>
  <si>
    <t>Questions 35 to 37</t>
  </si>
  <si>
    <t>V/div</t>
  </si>
  <si>
    <t>35</t>
  </si>
  <si>
    <t>36</t>
  </si>
  <si>
    <t>37</t>
  </si>
  <si>
    <t>tR</t>
  </si>
  <si>
    <t>0.47</t>
  </si>
  <si>
    <t>-11.5</t>
  </si>
  <si>
    <t>-9.09</t>
  </si>
  <si>
    <t>-8.8</t>
  </si>
  <si>
    <t>-3.81</t>
  </si>
  <si>
    <t>-1.47</t>
  </si>
  <si>
    <t>1.17</t>
  </si>
  <si>
    <t>3.52</t>
  </si>
  <si>
    <t>8.07</t>
  </si>
  <si>
    <t>10.6</t>
  </si>
  <si>
    <t>11.5</t>
  </si>
  <si>
    <t>1.47</t>
  </si>
  <si>
    <t>214.56</t>
  </si>
  <si>
    <t>-2.52</t>
  </si>
  <si>
    <t>11.9</t>
  </si>
  <si>
    <t>9.57</t>
  </si>
  <si>
    <t>7.81</t>
  </si>
  <si>
    <t>5.04</t>
  </si>
  <si>
    <t>-4.53</t>
  </si>
  <si>
    <t>-8.31</t>
  </si>
  <si>
    <t>-9.57</t>
  </si>
  <si>
    <t>-11.9</t>
  </si>
  <si>
    <t>1.4</t>
  </si>
  <si>
    <t>0.004</t>
  </si>
  <si>
    <t>1.08</t>
  </si>
  <si>
    <t>0.00053</t>
  </si>
  <si>
    <t>0.5</t>
  </si>
  <si>
    <t>Reyneke,R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</si>
</sst>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R&quot;#,##0;[Red]\-&quot;R&quot;#,##0"/>
    <numFmt numFmtId="164" formatCode="\R#,##0;[Red]&quot;-R&quot;#,##0"/>
    <numFmt numFmtId="165" formatCode="dddd&quot;, &quot;mmmm\ dd&quot;, &quot;yyyy"/>
  </numFmts>
  <fonts count="22" x14ac:knownFonts="1">
    <font>
      <sz val="12"/>
      <color rgb="FF000000"/>
      <name val="Calibri"/>
      <family val="2"/>
      <charset val="1"/>
    </font>
    <font>
      <sz val="12"/>
      <color rgb="FFBFBFBF"/>
      <name val="Calibri"/>
      <family val="2"/>
      <charset val="1"/>
    </font>
    <font>
      <b/>
      <sz val="14"/>
      <color rgb="FF000000"/>
      <name val="Times New Roman"/>
      <family val="1"/>
      <charset val="1"/>
    </font>
    <font>
      <b/>
      <sz val="11"/>
      <color rgb="FF000000"/>
      <name val="Times New Roman"/>
      <family val="1"/>
      <charset val="1"/>
    </font>
    <font>
      <b/>
      <sz val="11"/>
      <name val="Times New Roman"/>
      <family val="1"/>
      <charset val="1"/>
    </font>
    <font>
      <sz val="11"/>
      <color rgb="FFBFBFBF"/>
      <name val="Calibri"/>
      <family val="2"/>
      <charset val="1"/>
    </font>
    <font>
      <sz val="11"/>
      <color rgb="FF000000"/>
      <name val="Calibri"/>
      <family val="2"/>
      <charset val="1"/>
    </font>
    <font>
      <b/>
      <sz val="11"/>
      <color rgb="FFBFBFBF"/>
      <name val="Times New Roman"/>
      <family val="1"/>
      <charset val="1"/>
    </font>
    <font>
      <b/>
      <sz val="12"/>
      <color rgb="FFBFBFBF"/>
      <name val="Times New Roman"/>
      <family val="1"/>
      <charset val="1"/>
    </font>
    <font>
      <sz val="11"/>
      <color rgb="FF000000"/>
      <name val="Times New Roman"/>
      <family val="1"/>
      <charset val="1"/>
    </font>
    <font>
      <b/>
      <sz val="11"/>
      <color rgb="FF000000"/>
      <name val="Calibri"/>
      <family val="2"/>
      <charset val="1"/>
    </font>
    <font>
      <b/>
      <sz val="12"/>
      <color rgb="FF000000"/>
      <name val="Times New Roman"/>
      <family val="1"/>
      <charset val="1"/>
    </font>
    <font>
      <b/>
      <sz val="16"/>
      <color rgb="FF000000"/>
      <name val="Times New Roman"/>
      <family val="1"/>
      <charset val="1"/>
    </font>
    <font>
      <sz val="11"/>
      <color rgb="FFBFBFBF"/>
      <name val="Times New Roman"/>
      <family val="1"/>
      <charset val="1"/>
    </font>
    <font>
      <sz val="12"/>
      <color rgb="FFBFBFBF"/>
      <name val="Times New Roman"/>
      <family val="1"/>
      <charset val="1"/>
    </font>
    <font>
      <sz val="11"/>
      <name val="Times New Roman"/>
      <family val="1"/>
      <charset val="1"/>
    </font>
    <font>
      <sz val="3"/>
      <color rgb="FF000000"/>
      <name val="Times New Roman"/>
      <family val="1"/>
      <charset val="1"/>
    </font>
    <font>
      <sz val="10"/>
      <name val="Times New Roman"/>
      <family val="1"/>
      <charset val="1"/>
    </font>
    <font>
      <i/>
      <sz val="11"/>
      <color rgb="FF000000"/>
      <name val="Times New Roman"/>
      <family val="1"/>
    </font>
    <font>
      <b/>
      <sz val="11"/>
      <color rgb="FF000000"/>
      <name val="Times New Roman"/>
      <family val="1"/>
    </font>
    <font>
      <sz val="12"/>
      <color rgb="FF000000"/>
      <name val="Calibri"/>
      <family val="2"/>
      <charset val="1"/>
    </font>
    <font>
      <sz val="11"/>
      <color rgb="FF000000"/>
      <name val="Calibri"/>
      <family val="2"/>
    </font>
  </fonts>
  <fills count="14">
    <fill>
      <patternFill patternType="none"/>
    </fill>
    <fill>
      <patternFill patternType="gray125"/>
    </fill>
    <fill>
      <patternFill patternType="solid">
        <fgColor rgb="FFFFFFFF"/>
        <bgColor rgb="FFFFF2CC"/>
      </patternFill>
    </fill>
    <fill>
      <patternFill patternType="solid">
        <fgColor rgb="FFFFFF00"/>
        <bgColor rgb="FFFFFF00"/>
      </patternFill>
    </fill>
    <fill>
      <patternFill patternType="solid">
        <fgColor rgb="FFA9D18E"/>
        <bgColor rgb="FFBFBFBF"/>
      </patternFill>
    </fill>
    <fill>
      <patternFill patternType="solid">
        <fgColor rgb="FFFFF2CC"/>
        <bgColor rgb="FFE2F0D9"/>
      </patternFill>
    </fill>
    <fill>
      <patternFill patternType="solid">
        <fgColor rgb="FFE2F0D9"/>
        <bgColor rgb="FFFFF2CC"/>
      </patternFill>
    </fill>
    <fill>
      <patternFill patternType="solid">
        <fgColor rgb="FF404040"/>
        <bgColor rgb="FF333300"/>
      </patternFill>
    </fill>
    <fill>
      <patternFill patternType="solid">
        <fgColor theme="9" tint="0.39997558519241921"/>
        <bgColor rgb="FFFFF2CC"/>
      </patternFill>
    </fill>
    <fill>
      <patternFill patternType="solid">
        <fgColor theme="9" tint="0.39997558519241921"/>
        <bgColor rgb="FFBFBFBF"/>
      </patternFill>
    </fill>
    <fill>
      <patternFill patternType="solid">
        <fgColor theme="9" tint="0.79998168889431442"/>
        <bgColor rgb="FFFFF2CC"/>
      </patternFill>
    </fill>
    <fill>
      <patternFill patternType="solid">
        <fgColor theme="9" tint="0.79998168889431442"/>
        <bgColor indexed="64"/>
      </patternFill>
    </fill>
    <fill>
      <patternFill patternType="solid">
        <fgColor theme="9" tint="0.79998168889431442"/>
        <bgColor rgb="FFFFFF00"/>
      </patternFill>
    </fill>
    <fill>
      <patternFill patternType="solid">
        <fgColor rgb="FFE2EFDA"/>
        <bgColor rgb="FFFFF2CC"/>
      </patternFill>
    </fill>
  </fills>
  <borders count="36">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medium">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bottom/>
      <diagonal/>
    </border>
    <border>
      <left style="thin">
        <color auto="1"/>
      </left>
      <right style="medium">
        <color auto="1"/>
      </right>
      <top/>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auto="1"/>
      </left>
      <right style="thin">
        <color auto="1"/>
      </right>
      <top/>
      <bottom style="medium">
        <color auto="1"/>
      </bottom>
      <diagonal/>
    </border>
    <border>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style="medium">
        <color auto="1"/>
      </right>
      <top style="medium">
        <color indexed="64"/>
      </top>
      <bottom style="medium">
        <color indexed="64"/>
      </bottom>
      <diagonal/>
    </border>
    <border>
      <left/>
      <right style="medium">
        <color auto="1"/>
      </right>
      <top style="medium">
        <color indexed="64"/>
      </top>
      <bottom style="medium">
        <color indexed="64"/>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s>
  <cellStyleXfs count="2">
    <xf numFmtId="0" fontId="0" fillId="0" borderId="0"/>
    <xf numFmtId="0" fontId="20" fillId="0" borderId="0"/>
  </cellStyleXfs>
  <cellXfs count="149">
    <xf numFmtId="0" fontId="0" fillId="0" borderId="0" xfId="0"/>
    <xf numFmtId="0" fontId="4" fillId="0" borderId="0" xfId="0" applyFont="1" applyAlignment="1">
      <alignment horizontal="center"/>
    </xf>
    <xf numFmtId="0" fontId="5" fillId="0" borderId="0" xfId="0" applyFont="1"/>
    <xf numFmtId="0" fontId="1" fillId="0" borderId="0" xfId="0" applyFont="1" applyAlignment="1">
      <alignment horizontal="center"/>
    </xf>
    <xf numFmtId="0" fontId="6" fillId="0" borderId="0" xfId="0" applyFont="1"/>
    <xf numFmtId="0" fontId="3" fillId="0" borderId="0" xfId="0" applyFont="1" applyAlignment="1">
      <alignment horizontal="center" vertical="center"/>
    </xf>
    <xf numFmtId="0" fontId="7" fillId="0" borderId="0" xfId="0" applyFont="1" applyAlignment="1">
      <alignment horizontal="left"/>
    </xf>
    <xf numFmtId="0" fontId="8" fillId="0" borderId="0" xfId="0" applyFont="1" applyAlignment="1">
      <alignment horizontal="center"/>
    </xf>
    <xf numFmtId="0" fontId="3" fillId="0" borderId="0" xfId="0" applyFont="1" applyAlignment="1">
      <alignment horizontal="center" wrapText="1"/>
    </xf>
    <xf numFmtId="0" fontId="9" fillId="0" borderId="0" xfId="0" applyFont="1" applyAlignment="1">
      <alignment vertical="top"/>
    </xf>
    <xf numFmtId="0" fontId="9" fillId="4" borderId="1" xfId="0" applyFont="1" applyFill="1" applyBorder="1" applyAlignment="1">
      <alignment horizontal="left" vertical="top"/>
    </xf>
    <xf numFmtId="0" fontId="9" fillId="3" borderId="1" xfId="0" applyFont="1" applyFill="1" applyBorder="1" applyAlignment="1">
      <alignment horizontal="left" vertical="top"/>
    </xf>
    <xf numFmtId="0" fontId="9" fillId="7" borderId="1" xfId="0" applyFont="1" applyFill="1" applyBorder="1"/>
    <xf numFmtId="0" fontId="3" fillId="0" borderId="0" xfId="0" applyFont="1" applyAlignment="1">
      <alignment horizontal="left" vertical="top"/>
    </xf>
    <xf numFmtId="0" fontId="3" fillId="0" borderId="0" xfId="0" applyFont="1" applyAlignment="1">
      <alignment horizontal="right" vertical="top"/>
    </xf>
    <xf numFmtId="0" fontId="6" fillId="5" borderId="1" xfId="0" applyFont="1" applyFill="1" applyBorder="1" applyAlignment="1">
      <alignment horizontal="center" vertical="center"/>
    </xf>
    <xf numFmtId="0" fontId="3" fillId="0" borderId="0" xfId="0" applyFont="1" applyAlignment="1">
      <alignment horizontal="right"/>
    </xf>
    <xf numFmtId="0" fontId="10" fillId="0" borderId="0" xfId="0" applyFont="1" applyAlignment="1">
      <alignment horizontal="right"/>
    </xf>
    <xf numFmtId="0" fontId="9" fillId="0" borderId="0" xfId="0" applyFont="1" applyAlignment="1">
      <alignment horizontal="left"/>
    </xf>
    <xf numFmtId="0" fontId="9" fillId="0" borderId="0" xfId="0" applyFont="1"/>
    <xf numFmtId="0" fontId="14" fillId="0" borderId="0" xfId="0" applyFont="1" applyAlignment="1">
      <alignment horizontal="center"/>
    </xf>
    <xf numFmtId="0" fontId="12" fillId="0" borderId="2" xfId="0" applyFont="1" applyBorder="1" applyAlignment="1">
      <alignment horizontal="center"/>
    </xf>
    <xf numFmtId="0" fontId="12" fillId="0" borderId="0" xfId="0" applyFont="1" applyAlignment="1">
      <alignment horizontal="center"/>
    </xf>
    <xf numFmtId="0" fontId="1" fillId="0" borderId="0" xfId="0" applyFont="1"/>
    <xf numFmtId="0" fontId="4" fillId="0" borderId="18" xfId="0" applyFont="1" applyBorder="1" applyAlignment="1">
      <alignment horizontal="center" wrapText="1"/>
    </xf>
    <xf numFmtId="0" fontId="17" fillId="0" borderId="19" xfId="0" applyFont="1" applyBorder="1" applyAlignment="1">
      <alignment horizontal="center"/>
    </xf>
    <xf numFmtId="0" fontId="3" fillId="0" borderId="0" xfId="0" applyFont="1" applyAlignment="1">
      <alignment horizontal="center"/>
    </xf>
    <xf numFmtId="0" fontId="13" fillId="0" borderId="0" xfId="0" applyFont="1"/>
    <xf numFmtId="0" fontId="9" fillId="0" borderId="0" xfId="0" applyFont="1" applyAlignment="1">
      <alignment wrapText="1"/>
    </xf>
    <xf numFmtId="0" fontId="16" fillId="0" borderId="0" xfId="0" applyFont="1"/>
    <xf numFmtId="0" fontId="17" fillId="0" borderId="18" xfId="0" applyFont="1" applyBorder="1" applyAlignment="1">
      <alignment horizontal="center"/>
    </xf>
    <xf numFmtId="0" fontId="17" fillId="0" borderId="20" xfId="0" applyFont="1" applyBorder="1" applyAlignment="1">
      <alignment horizontal="center"/>
    </xf>
    <xf numFmtId="0" fontId="9" fillId="0" borderId="14" xfId="1" applyFont="1" applyBorder="1" applyAlignment="1">
      <alignment horizontal="center"/>
    </xf>
    <xf numFmtId="49" fontId="9" fillId="8" borderId="1" xfId="1" applyNumberFormat="1" applyFont="1" applyFill="1" applyBorder="1" applyAlignment="1">
      <alignment horizontal="center" wrapText="1"/>
    </xf>
    <xf numFmtId="6" fontId="9" fillId="10" borderId="1" xfId="1" applyNumberFormat="1" applyFont="1" applyFill="1" applyBorder="1" applyAlignment="1">
      <alignment horizontal="center" wrapText="1"/>
    </xf>
    <xf numFmtId="0" fontId="0" fillId="0" borderId="19" xfId="0" applyBorder="1"/>
    <xf numFmtId="0" fontId="3" fillId="2" borderId="1" xfId="0" applyFont="1" applyFill="1" applyBorder="1" applyAlignment="1">
      <alignment vertical="center"/>
    </xf>
    <xf numFmtId="0" fontId="3" fillId="0" borderId="0" xfId="0" applyFont="1" applyAlignment="1">
      <alignment horizontal="left"/>
    </xf>
    <xf numFmtId="0" fontId="6" fillId="0" borderId="0" xfId="0" applyFont="1" applyAlignment="1">
      <alignment horizontal="center" vertical="center"/>
    </xf>
    <xf numFmtId="0" fontId="0" fillId="5" borderId="1" xfId="0" applyFill="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xf>
    <xf numFmtId="0" fontId="0" fillId="0" borderId="0" xfId="0"/>
    <xf numFmtId="0" fontId="3" fillId="0" borderId="8" xfId="0" applyFont="1" applyBorder="1" applyAlignment="1">
      <alignment horizontal="center" wrapText="1"/>
    </xf>
    <xf numFmtId="0" fontId="3" fillId="0" borderId="26" xfId="0" applyFont="1" applyBorder="1" applyAlignment="1">
      <alignment horizontal="center" wrapText="1"/>
    </xf>
    <xf numFmtId="0" fontId="3" fillId="0" borderId="12" xfId="0" applyFont="1" applyBorder="1" applyAlignment="1">
      <alignment horizontal="center" wrapText="1"/>
    </xf>
    <xf numFmtId="0" fontId="3" fillId="0" borderId="13" xfId="0" applyFont="1" applyBorder="1" applyAlignment="1">
      <alignment horizontal="center" wrapText="1"/>
    </xf>
    <xf numFmtId="0" fontId="3" fillId="6" borderId="3" xfId="0" applyFont="1" applyFill="1" applyBorder="1" applyAlignment="1">
      <alignment vertical="center" wrapText="1"/>
    </xf>
    <xf numFmtId="49" fontId="9" fillId="6" borderId="22" xfId="1" applyNumberFormat="1" applyFont="1" applyFill="1" applyBorder="1" applyAlignment="1">
      <alignment horizontal="center" wrapText="1"/>
    </xf>
    <xf numFmtId="0" fontId="15" fillId="6" borderId="6" xfId="0" applyFont="1" applyFill="1" applyBorder="1" applyAlignment="1">
      <alignment horizontal="center" vertical="center" wrapText="1"/>
    </xf>
    <xf numFmtId="0" fontId="9" fillId="6" borderId="6" xfId="0" applyFont="1" applyFill="1" applyBorder="1" applyAlignment="1">
      <alignment horizontal="center" wrapText="1"/>
    </xf>
    <xf numFmtId="0" fontId="9" fillId="6" borderId="7" xfId="0" applyFont="1" applyFill="1" applyBorder="1" applyAlignment="1">
      <alignment horizontal="center"/>
    </xf>
    <xf numFmtId="0" fontId="3" fillId="6" borderId="8" xfId="0" applyFont="1" applyFill="1" applyBorder="1" applyAlignment="1">
      <alignment vertical="center" wrapText="1"/>
    </xf>
    <xf numFmtId="0" fontId="15" fillId="4" borderId="12" xfId="0" applyFont="1" applyFill="1" applyBorder="1" applyAlignment="1">
      <alignment horizontal="center" vertical="center" wrapText="1"/>
    </xf>
    <xf numFmtId="0" fontId="9" fillId="4" borderId="12" xfId="0" applyFont="1" applyFill="1" applyBorder="1" applyAlignment="1">
      <alignment horizontal="center" wrapText="1"/>
    </xf>
    <xf numFmtId="0" fontId="9" fillId="4" borderId="13" xfId="0" applyFont="1" applyFill="1" applyBorder="1" applyAlignment="1">
      <alignment horizontal="center"/>
    </xf>
    <xf numFmtId="0" fontId="9" fillId="0" borderId="25" xfId="0" quotePrefix="1" applyFont="1" applyBorder="1" applyAlignment="1">
      <alignment horizontal="center"/>
    </xf>
    <xf numFmtId="0" fontId="9" fillId="0" borderId="26" xfId="0" applyFont="1" applyBorder="1" applyAlignment="1">
      <alignment horizontal="center"/>
    </xf>
    <xf numFmtId="0" fontId="9" fillId="7" borderId="21" xfId="0" applyFont="1" applyFill="1" applyBorder="1"/>
    <xf numFmtId="0" fontId="9" fillId="0" borderId="27" xfId="0" applyFont="1" applyBorder="1" applyAlignment="1">
      <alignment horizontal="center"/>
    </xf>
    <xf numFmtId="0" fontId="9" fillId="11" borderId="9" xfId="0" quotePrefix="1" applyFont="1" applyFill="1" applyBorder="1" applyAlignment="1">
      <alignment horizontal="center"/>
    </xf>
    <xf numFmtId="11" fontId="15" fillId="12" borderId="6" xfId="0" applyNumberFormat="1" applyFont="1" applyFill="1" applyBorder="1" applyAlignment="1">
      <alignment horizontal="center" vertical="center" wrapText="1"/>
    </xf>
    <xf numFmtId="0" fontId="9" fillId="11" borderId="7" xfId="0" applyFont="1" applyFill="1" applyBorder="1" applyAlignment="1">
      <alignment horizontal="center"/>
    </xf>
    <xf numFmtId="0" fontId="9" fillId="0" borderId="1" xfId="1" applyFont="1" applyBorder="1" applyAlignment="1">
      <alignment horizontal="center"/>
    </xf>
    <xf numFmtId="11" fontId="15" fillId="3" borderId="1" xfId="0" applyNumberFormat="1" applyFont="1" applyFill="1" applyBorder="1" applyAlignment="1">
      <alignment horizontal="center" vertical="center" wrapText="1"/>
    </xf>
    <xf numFmtId="0" fontId="9" fillId="0" borderId="10" xfId="0" applyFont="1" applyBorder="1" applyAlignment="1">
      <alignment horizontal="center"/>
    </xf>
    <xf numFmtId="0" fontId="9" fillId="11" borderId="24" xfId="0" quotePrefix="1" applyFont="1" applyFill="1" applyBorder="1" applyAlignment="1">
      <alignment horizontal="center"/>
    </xf>
    <xf numFmtId="0" fontId="15" fillId="6" borderId="1" xfId="0" applyFont="1" applyFill="1" applyBorder="1" applyAlignment="1">
      <alignment horizontal="center" vertical="center" wrapText="1"/>
    </xf>
    <xf numFmtId="11" fontId="15" fillId="12" borderId="1" xfId="0" applyNumberFormat="1" applyFont="1" applyFill="1" applyBorder="1" applyAlignment="1">
      <alignment horizontal="center" vertical="center" wrapText="1"/>
    </xf>
    <xf numFmtId="0" fontId="9" fillId="11" borderId="10" xfId="0" applyFont="1" applyFill="1" applyBorder="1" applyAlignment="1">
      <alignment horizontal="center"/>
    </xf>
    <xf numFmtId="0" fontId="9" fillId="0" borderId="24" xfId="0" quotePrefix="1" applyFont="1" applyBorder="1" applyAlignment="1">
      <alignment horizontal="center"/>
    </xf>
    <xf numFmtId="0" fontId="9" fillId="0" borderId="11" xfId="0" quotePrefix="1" applyFont="1" applyBorder="1" applyAlignment="1">
      <alignment horizontal="center"/>
    </xf>
    <xf numFmtId="11" fontId="15" fillId="3" borderId="14" xfId="0" applyNumberFormat="1" applyFont="1" applyFill="1" applyBorder="1" applyAlignment="1">
      <alignment horizontal="center" vertical="center" wrapText="1"/>
    </xf>
    <xf numFmtId="0" fontId="9" fillId="0" borderId="15" xfId="0" applyFont="1" applyBorder="1" applyAlignment="1">
      <alignment horizontal="center"/>
    </xf>
    <xf numFmtId="0" fontId="9" fillId="0" borderId="14" xfId="0" applyFont="1" applyBorder="1" applyAlignment="1">
      <alignment horizontal="center"/>
    </xf>
    <xf numFmtId="0" fontId="3" fillId="0" borderId="3" xfId="0" applyFont="1" applyBorder="1" applyAlignment="1">
      <alignment horizontal="center" wrapText="1"/>
    </xf>
    <xf numFmtId="0" fontId="3" fillId="0" borderId="4" xfId="0" applyFont="1" applyBorder="1" applyAlignment="1">
      <alignment horizontal="center" wrapText="1"/>
    </xf>
    <xf numFmtId="0" fontId="3" fillId="0" borderId="5" xfId="0" applyFont="1" applyBorder="1" applyAlignment="1">
      <alignment horizontal="center" wrapText="1"/>
    </xf>
    <xf numFmtId="6" fontId="9" fillId="13" borderId="1" xfId="0" applyNumberFormat="1" applyFont="1" applyFill="1" applyBorder="1" applyAlignment="1">
      <alignment horizontal="center" wrapText="1"/>
    </xf>
    <xf numFmtId="0" fontId="9" fillId="7" borderId="0" xfId="0" applyFont="1" applyFill="1" applyAlignment="1">
      <alignment horizontal="left"/>
    </xf>
    <xf numFmtId="0" fontId="9" fillId="7" borderId="0" xfId="0" applyFont="1" applyFill="1"/>
    <xf numFmtId="0" fontId="9" fillId="7" borderId="0" xfId="0" applyFont="1" applyFill="1" applyAlignment="1">
      <alignment horizontal="center"/>
    </xf>
    <xf numFmtId="0" fontId="3" fillId="0" borderId="25" xfId="0" applyFont="1" applyBorder="1" applyAlignment="1">
      <alignment horizontal="center" wrapText="1"/>
    </xf>
    <xf numFmtId="0" fontId="3" fillId="0" borderId="27" xfId="0" applyFont="1" applyBorder="1" applyAlignment="1">
      <alignment horizontal="center" wrapText="1"/>
    </xf>
    <xf numFmtId="0" fontId="15" fillId="6" borderId="22" xfId="0" applyFont="1" applyFill="1" applyBorder="1" applyAlignment="1">
      <alignment horizontal="center" vertical="center" wrapText="1"/>
    </xf>
    <xf numFmtId="0" fontId="9" fillId="10" borderId="22" xfId="0" applyFont="1" applyFill="1" applyBorder="1" applyAlignment="1">
      <alignment horizontal="center" wrapText="1"/>
    </xf>
    <xf numFmtId="0" fontId="9" fillId="6" borderId="23" xfId="0" applyFont="1" applyFill="1" applyBorder="1" applyAlignment="1">
      <alignment horizontal="center"/>
    </xf>
    <xf numFmtId="0" fontId="15" fillId="8" borderId="22" xfId="0" applyFont="1" applyFill="1" applyBorder="1" applyAlignment="1">
      <alignment horizontal="center" vertical="center" wrapText="1"/>
    </xf>
    <xf numFmtId="0" fontId="9" fillId="8" borderId="22" xfId="0" applyFont="1" applyFill="1" applyBorder="1" applyAlignment="1">
      <alignment horizontal="center" wrapText="1"/>
    </xf>
    <xf numFmtId="0" fontId="9" fillId="8" borderId="23" xfId="0" applyFont="1" applyFill="1" applyBorder="1" applyAlignment="1">
      <alignment horizontal="center"/>
    </xf>
    <xf numFmtId="0" fontId="15" fillId="10" borderId="22" xfId="0" applyFont="1" applyFill="1" applyBorder="1" applyAlignment="1">
      <alignment horizontal="center" vertical="center" wrapText="1"/>
    </xf>
    <xf numFmtId="0" fontId="9" fillId="10" borderId="23" xfId="0" applyFont="1" applyFill="1" applyBorder="1" applyAlignment="1">
      <alignment horizontal="center"/>
    </xf>
    <xf numFmtId="0" fontId="9" fillId="6" borderId="22" xfId="0" applyFont="1" applyFill="1" applyBorder="1" applyAlignment="1">
      <alignment horizontal="center" wrapText="1"/>
    </xf>
    <xf numFmtId="0" fontId="9" fillId="8" borderId="1" xfId="0" applyFont="1" applyFill="1" applyBorder="1" applyAlignment="1">
      <alignment horizontal="center" wrapText="1"/>
    </xf>
    <xf numFmtId="0" fontId="15" fillId="8" borderId="1" xfId="0" applyFont="1" applyFill="1" applyBorder="1" applyAlignment="1">
      <alignment horizontal="center" vertical="center" wrapText="1"/>
    </xf>
    <xf numFmtId="0" fontId="9" fillId="0" borderId="9" xfId="0" quotePrefix="1" applyFont="1" applyBorder="1" applyAlignment="1">
      <alignment horizontal="center"/>
    </xf>
    <xf numFmtId="0" fontId="9" fillId="0" borderId="1" xfId="0" applyFont="1" applyBorder="1" applyAlignment="1">
      <alignment horizontal="center"/>
    </xf>
    <xf numFmtId="0" fontId="9" fillId="0" borderId="7" xfId="0" applyFont="1" applyBorder="1" applyAlignment="1">
      <alignment horizontal="center"/>
    </xf>
    <xf numFmtId="6" fontId="9" fillId="6" borderId="6" xfId="0" applyNumberFormat="1" applyFont="1" applyFill="1" applyBorder="1" applyAlignment="1">
      <alignment horizontal="center" wrapText="1"/>
    </xf>
    <xf numFmtId="6" fontId="9" fillId="8" borderId="12" xfId="0" applyNumberFormat="1" applyFont="1" applyFill="1" applyBorder="1" applyAlignment="1">
      <alignment horizontal="center" wrapText="1"/>
    </xf>
    <xf numFmtId="0" fontId="15" fillId="8" borderId="12" xfId="0" applyFont="1" applyFill="1" applyBorder="1" applyAlignment="1">
      <alignment horizontal="center" vertical="center" wrapText="1"/>
    </xf>
    <xf numFmtId="0" fontId="9" fillId="8" borderId="12" xfId="0" applyFont="1" applyFill="1" applyBorder="1" applyAlignment="1">
      <alignment horizontal="center" wrapText="1"/>
    </xf>
    <xf numFmtId="0" fontId="9" fillId="8" borderId="13" xfId="0" applyFont="1" applyFill="1" applyBorder="1" applyAlignment="1">
      <alignment horizontal="center"/>
    </xf>
    <xf numFmtId="11" fontId="15" fillId="3" borderId="6" xfId="0" applyNumberFormat="1" applyFont="1" applyFill="1" applyBorder="1" applyAlignment="1">
      <alignment horizontal="center" vertical="center" wrapText="1"/>
    </xf>
    <xf numFmtId="11" fontId="15" fillId="0" borderId="1" xfId="0" applyNumberFormat="1" applyFont="1" applyBorder="1" applyAlignment="1">
      <alignment horizontal="center" vertical="center" wrapText="1"/>
    </xf>
    <xf numFmtId="49" fontId="9" fillId="6" borderId="6" xfId="1" applyNumberFormat="1" applyFont="1" applyFill="1" applyBorder="1" applyAlignment="1">
      <alignment horizontal="center" wrapText="1"/>
    </xf>
    <xf numFmtId="0" fontId="3" fillId="6" borderId="16" xfId="0" applyFont="1" applyFill="1" applyBorder="1" applyAlignment="1">
      <alignment vertical="center" wrapText="1"/>
    </xf>
    <xf numFmtId="49" fontId="9" fillId="8" borderId="14" xfId="1" applyNumberFormat="1" applyFont="1" applyFill="1" applyBorder="1" applyAlignment="1">
      <alignment horizontal="center" wrapText="1"/>
    </xf>
    <xf numFmtId="0" fontId="15" fillId="4" borderId="28" xfId="0" applyFont="1" applyFill="1" applyBorder="1" applyAlignment="1">
      <alignment horizontal="center" vertical="center" wrapText="1"/>
    </xf>
    <xf numFmtId="0" fontId="9" fillId="4" borderId="28" xfId="0" applyFont="1" applyFill="1" applyBorder="1" applyAlignment="1">
      <alignment horizontal="center" wrapText="1"/>
    </xf>
    <xf numFmtId="0" fontId="9" fillId="4" borderId="29" xfId="0" applyFont="1" applyFill="1" applyBorder="1" applyAlignment="1">
      <alignment horizontal="center"/>
    </xf>
    <xf numFmtId="0" fontId="9" fillId="7" borderId="26" xfId="0" applyFont="1" applyFill="1" applyBorder="1"/>
    <xf numFmtId="6" fontId="9" fillId="10" borderId="6" xfId="1" applyNumberFormat="1" applyFont="1" applyFill="1" applyBorder="1" applyAlignment="1">
      <alignment horizontal="center" wrapText="1"/>
    </xf>
    <xf numFmtId="0" fontId="9" fillId="7" borderId="14" xfId="0" applyFont="1" applyFill="1" applyBorder="1"/>
    <xf numFmtId="11" fontId="4" fillId="0" borderId="25" xfId="0" applyNumberFormat="1" applyFont="1" applyBorder="1" applyAlignment="1">
      <alignment horizontal="center" vertical="center" wrapText="1"/>
    </xf>
    <xf numFmtId="0" fontId="11" fillId="0" borderId="17" xfId="0" applyFont="1" applyBorder="1" applyAlignment="1">
      <alignment horizontal="center"/>
    </xf>
    <xf numFmtId="0" fontId="9" fillId="0" borderId="6" xfId="0" applyFont="1" applyBorder="1" applyAlignment="1">
      <alignment horizontal="center"/>
    </xf>
    <xf numFmtId="0" fontId="9" fillId="7" borderId="6" xfId="0" applyFont="1" applyFill="1" applyBorder="1"/>
    <xf numFmtId="0" fontId="9" fillId="10" borderId="6" xfId="0" applyFont="1" applyFill="1" applyBorder="1" applyAlignment="1">
      <alignment horizontal="center" wrapText="1"/>
    </xf>
    <xf numFmtId="0" fontId="15" fillId="9" borderId="28" xfId="0" applyFont="1" applyFill="1" applyBorder="1" applyAlignment="1">
      <alignment horizontal="center" vertical="center" wrapText="1"/>
    </xf>
    <xf numFmtId="0" fontId="21" fillId="9" borderId="28" xfId="0" applyFont="1" applyFill="1" applyBorder="1" applyAlignment="1">
      <alignment horizontal="center" wrapText="1"/>
    </xf>
    <xf numFmtId="0" fontId="9" fillId="9" borderId="29" xfId="0" applyFont="1" applyFill="1" applyBorder="1" applyAlignment="1">
      <alignment horizontal="center"/>
    </xf>
    <xf numFmtId="0" fontId="17" fillId="0" borderId="0" xfId="0" applyFont="1" applyAlignment="1">
      <alignment horizontal="center"/>
    </xf>
    <xf numFmtId="0" fontId="15" fillId="3" borderId="6"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14" xfId="0" applyFont="1" applyFill="1" applyBorder="1" applyAlignment="1">
      <alignment horizontal="center" vertical="center" wrapText="1"/>
    </xf>
    <xf numFmtId="0" fontId="15" fillId="3" borderId="26" xfId="0" applyFont="1" applyFill="1" applyBorder="1" applyAlignment="1">
      <alignment horizontal="center" vertical="center" wrapText="1"/>
    </xf>
    <xf numFmtId="164" fontId="9" fillId="9" borderId="28" xfId="0" applyNumberFormat="1" applyFont="1" applyFill="1" applyBorder="1" applyAlignment="1">
      <alignment horizontal="center" wrapText="1"/>
    </xf>
    <xf numFmtId="0" fontId="2" fillId="0" borderId="30" xfId="0" applyFont="1" applyBorder="1" applyAlignment="1">
      <alignment horizontal="center" vertical="center"/>
    </xf>
    <xf numFmtId="0" fontId="0" fillId="0" borderId="21" xfId="0" applyBorder="1"/>
    <xf numFmtId="0" fontId="0" fillId="0" borderId="31" xfId="0" applyBorder="1"/>
    <xf numFmtId="0" fontId="4" fillId="3" borderId="1" xfId="0" applyFont="1" applyFill="1" applyBorder="1" applyAlignment="1" applyProtection="1">
      <alignment horizontal="center"/>
      <protection locked="0"/>
    </xf>
    <xf numFmtId="0" fontId="0" fillId="0" borderId="32" xfId="0" applyBorder="1"/>
    <xf numFmtId="165" fontId="3" fillId="0" borderId="1" xfId="0" applyNumberFormat="1" applyFont="1" applyBorder="1" applyAlignment="1">
      <alignment horizontal="left"/>
    </xf>
    <xf numFmtId="0" fontId="3" fillId="3" borderId="1" xfId="0" applyFont="1" applyFill="1" applyBorder="1" applyAlignment="1" applyProtection="1">
      <alignment horizontal="center" vertical="center"/>
      <protection locked="0"/>
    </xf>
    <xf numFmtId="0" fontId="3" fillId="0" borderId="1" xfId="0" applyFont="1" applyBorder="1" applyAlignment="1">
      <alignment horizontal="center" wrapText="1"/>
    </xf>
    <xf numFmtId="0" fontId="0" fillId="0" borderId="33" xfId="0" applyBorder="1"/>
    <xf numFmtId="0" fontId="2" fillId="0" borderId="1" xfId="0" applyFont="1" applyBorder="1" applyAlignment="1">
      <alignment horizontal="left"/>
    </xf>
    <xf numFmtId="0" fontId="11" fillId="0" borderId="9" xfId="0" applyFont="1" applyBorder="1" applyAlignment="1">
      <alignment horizontal="center"/>
    </xf>
    <xf numFmtId="0" fontId="0" fillId="0" borderId="34" xfId="0" applyBorder="1"/>
    <xf numFmtId="0" fontId="11" fillId="0" borderId="11" xfId="0" applyFont="1" applyBorder="1" applyAlignment="1">
      <alignment horizontal="center"/>
    </xf>
    <xf numFmtId="0" fontId="0" fillId="0" borderId="35" xfId="0" applyBorder="1"/>
    <xf numFmtId="0" fontId="18" fillId="0" borderId="1" xfId="0" applyFont="1" applyBorder="1" applyAlignment="1">
      <alignment horizontal="left" vertical="top"/>
    </xf>
    <xf numFmtId="0" fontId="19" fillId="0" borderId="0" xfId="0" applyFont="1" applyAlignment="1">
      <alignment horizontal="left" vertical="center" wrapText="1"/>
    </xf>
    <xf numFmtId="0" fontId="0" fillId="0" borderId="0" xfId="0"/>
    <xf numFmtId="0" fontId="15" fillId="3" borderId="1" xfId="0" quotePrefix="1" applyFont="1" applyFill="1" applyBorder="1" applyAlignment="1">
      <alignment horizontal="center" vertical="center" wrapText="1"/>
    </xf>
    <xf numFmtId="0" fontId="15" fillId="3" borderId="26" xfId="0" quotePrefix="1" applyFont="1" applyFill="1" applyBorder="1" applyAlignment="1">
      <alignment horizontal="center" vertical="center" wrapText="1"/>
    </xf>
    <xf numFmtId="0" fontId="15" fillId="3" borderId="14" xfId="0" quotePrefix="1" applyFont="1" applyFill="1" applyBorder="1" applyAlignment="1">
      <alignment horizontal="center" vertical="center" wrapText="1"/>
    </xf>
    <xf numFmtId="0" fontId="15" fillId="3" borderId="6" xfId="0" quotePrefix="1"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A9D18E"/>
      <rgbColor rgb="FFFF99CC"/>
      <rgbColor rgb="FFCC99FF"/>
      <rgbColor rgb="FFFFCC99"/>
      <rgbColor rgb="FF3366FF"/>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M121"/>
  <sheetViews>
    <sheetView showGridLines="0" tabSelected="1" zoomScaleNormal="100" workbookViewId="0">
      <selection activeCell="E2" sqref="E2:F2"/>
    </sheetView>
  </sheetViews>
  <sheetFormatPr defaultColWidth="11.08203125" defaultRowHeight="16.5" customHeight="1" x14ac:dyDescent="0.35"/>
  <cols>
    <col min="1" max="1" width="2.33203125" style="42" customWidth="1"/>
    <col min="2" max="2" width="9.58203125" style="42" customWidth="1"/>
    <col min="3" max="3" width="38.83203125" style="42" customWidth="1"/>
    <col min="4" max="4" width="25.83203125" style="42" customWidth="1"/>
    <col min="5" max="5" width="17.58203125" style="42" customWidth="1"/>
    <col min="6" max="6" width="13.5" style="42" customWidth="1"/>
    <col min="7" max="7" width="5.08203125" style="42" customWidth="1"/>
    <col min="8" max="8" width="4.75" style="23" customWidth="1"/>
    <col min="9" max="9" width="15.08203125" style="42" customWidth="1"/>
    <col min="10" max="10" width="4.75" style="3" customWidth="1"/>
    <col min="11" max="23" width="4.75" style="42" customWidth="1"/>
    <col min="24" max="24" width="11.08203125" style="42" customWidth="1"/>
    <col min="25" max="16384" width="11.08203125" style="42"/>
  </cols>
  <sheetData>
    <row r="1" spans="2:13" ht="16.5" customHeight="1" x14ac:dyDescent="0.35">
      <c r="B1" s="137" t="s">
        <v>0</v>
      </c>
      <c r="C1" s="132"/>
      <c r="D1" s="36" t="s">
        <v>1</v>
      </c>
      <c r="E1" s="131" t="s">
        <v>2</v>
      </c>
      <c r="F1" s="132"/>
      <c r="G1" s="1"/>
      <c r="H1" s="2"/>
      <c r="K1" s="4"/>
      <c r="L1" s="4"/>
      <c r="M1" s="4"/>
    </row>
    <row r="2" spans="2:13" ht="16.5" customHeight="1" x14ac:dyDescent="0.35">
      <c r="B2" s="133" t="s">
        <v>3</v>
      </c>
      <c r="C2" s="132"/>
      <c r="D2" s="36" t="s">
        <v>4</v>
      </c>
      <c r="E2" s="134" t="s">
        <v>146</v>
      </c>
      <c r="F2" s="132"/>
      <c r="G2" s="5"/>
      <c r="H2" s="2"/>
      <c r="K2" s="4"/>
      <c r="L2" s="4"/>
      <c r="M2" s="4"/>
    </row>
    <row r="3" spans="2:13" ht="16.5" customHeight="1" x14ac:dyDescent="0.35">
      <c r="B3" s="37"/>
      <c r="C3" s="37"/>
      <c r="D3" s="37"/>
      <c r="E3" s="37"/>
      <c r="F3" s="37"/>
      <c r="G3" s="37"/>
      <c r="H3" s="6"/>
      <c r="J3" s="7"/>
      <c r="K3" s="37"/>
      <c r="L3" s="37"/>
      <c r="M3" s="37"/>
    </row>
    <row r="4" spans="2:13" ht="28.9" customHeight="1" x14ac:dyDescent="0.35">
      <c r="B4" s="135" t="s">
        <v>5</v>
      </c>
      <c r="C4" s="136"/>
      <c r="D4" s="136"/>
      <c r="E4" s="136"/>
      <c r="F4" s="132"/>
      <c r="G4" s="8"/>
      <c r="H4" s="6"/>
      <c r="J4" s="7"/>
      <c r="K4" s="37"/>
      <c r="L4" s="37"/>
      <c r="M4" s="37"/>
    </row>
    <row r="5" spans="2:13" ht="16.5" customHeight="1" x14ac:dyDescent="0.35">
      <c r="B5" s="9"/>
      <c r="C5" s="4"/>
      <c r="D5" s="38"/>
      <c r="E5" s="38"/>
      <c r="F5" s="4"/>
      <c r="G5" s="4"/>
      <c r="H5" s="2"/>
      <c r="K5" s="4"/>
      <c r="L5" s="4"/>
      <c r="M5" s="4"/>
    </row>
    <row r="6" spans="2:13" ht="16.5" customHeight="1" x14ac:dyDescent="0.35">
      <c r="B6" s="10"/>
      <c r="C6" s="142" t="s">
        <v>6</v>
      </c>
      <c r="D6" s="132"/>
      <c r="E6" s="38"/>
      <c r="F6" s="4"/>
      <c r="G6" s="4"/>
      <c r="H6" s="2"/>
      <c r="K6" s="4"/>
      <c r="L6" s="4"/>
      <c r="M6" s="4"/>
    </row>
    <row r="7" spans="2:13" ht="16.5" customHeight="1" x14ac:dyDescent="0.35">
      <c r="B7" s="11"/>
      <c r="C7" s="142" t="s">
        <v>7</v>
      </c>
      <c r="D7" s="132"/>
      <c r="E7" s="38"/>
      <c r="F7" s="4"/>
      <c r="G7" s="4"/>
      <c r="H7" s="2"/>
      <c r="L7" s="4"/>
      <c r="M7" s="4"/>
    </row>
    <row r="8" spans="2:13" ht="16.5" customHeight="1" x14ac:dyDescent="0.35">
      <c r="B8" s="12"/>
      <c r="C8" s="142" t="s">
        <v>8</v>
      </c>
      <c r="D8" s="132"/>
      <c r="E8" s="38"/>
      <c r="F8" s="4"/>
      <c r="G8" s="4"/>
      <c r="H8" s="2"/>
      <c r="L8" s="4"/>
      <c r="M8" s="4"/>
    </row>
    <row r="9" spans="2:13" ht="16.5" customHeight="1" x14ac:dyDescent="0.35">
      <c r="B9" s="13"/>
      <c r="C9" s="4"/>
      <c r="D9" s="38"/>
      <c r="E9" s="38"/>
      <c r="F9" s="4"/>
      <c r="G9" s="4"/>
      <c r="H9" s="2"/>
      <c r="L9" s="4"/>
      <c r="M9" s="4"/>
    </row>
    <row r="10" spans="2:13" ht="28.9" customHeight="1" x14ac:dyDescent="0.35">
      <c r="B10" s="143" t="s">
        <v>9</v>
      </c>
      <c r="C10" s="144"/>
      <c r="D10" s="144"/>
      <c r="E10" s="144"/>
      <c r="F10" s="144"/>
      <c r="G10" s="4"/>
      <c r="H10" s="2"/>
      <c r="L10" s="4"/>
      <c r="M10" s="4"/>
    </row>
    <row r="11" spans="2:13" ht="16.5" customHeight="1" x14ac:dyDescent="0.35">
      <c r="B11" s="4"/>
      <c r="C11" s="14" t="s">
        <v>10</v>
      </c>
      <c r="D11" s="39" t="s">
        <v>11</v>
      </c>
      <c r="E11" s="15" t="s">
        <v>12</v>
      </c>
      <c r="F11" s="4"/>
      <c r="G11" s="4"/>
      <c r="H11" s="2"/>
      <c r="L11" s="4"/>
      <c r="M11" s="4"/>
    </row>
    <row r="12" spans="2:13" ht="16.5" customHeight="1" x14ac:dyDescent="0.35">
      <c r="B12" s="13"/>
      <c r="C12" s="16" t="s">
        <v>13</v>
      </c>
      <c r="D12" s="39" t="s">
        <v>14</v>
      </c>
      <c r="E12" s="15" t="s">
        <v>15</v>
      </c>
      <c r="F12" s="4"/>
      <c r="G12" s="4"/>
      <c r="H12" s="2"/>
      <c r="L12" s="4"/>
      <c r="M12" s="4"/>
    </row>
    <row r="13" spans="2:13" ht="16.5" customHeight="1" thickBot="1" x14ac:dyDescent="0.4">
      <c r="B13" s="13"/>
      <c r="C13" s="17"/>
      <c r="D13" s="40"/>
      <c r="E13" s="38"/>
      <c r="F13" s="4"/>
      <c r="G13" s="4"/>
      <c r="H13" s="2"/>
      <c r="L13" s="4"/>
      <c r="M13" s="4"/>
    </row>
    <row r="14" spans="2:13" ht="16.5" customHeight="1" thickBot="1" x14ac:dyDescent="0.45">
      <c r="B14" s="18"/>
      <c r="C14" s="19"/>
      <c r="D14" s="138" t="s">
        <v>16</v>
      </c>
      <c r="E14" s="139"/>
      <c r="F14" s="21">
        <f>SUM(F49,F85,F101,F112)</f>
        <v>50</v>
      </c>
      <c r="G14" s="19"/>
      <c r="H14" s="27"/>
      <c r="J14" s="20"/>
      <c r="L14" s="19"/>
      <c r="M14" s="19"/>
    </row>
    <row r="15" spans="2:13" ht="16.5" customHeight="1" thickBot="1" x14ac:dyDescent="0.45">
      <c r="B15" s="18"/>
      <c r="C15" s="19"/>
      <c r="D15" s="140" t="s">
        <v>17</v>
      </c>
      <c r="E15" s="141"/>
      <c r="F15" s="21">
        <f>SUM(F49,F85,F101,F112)</f>
        <v>50</v>
      </c>
      <c r="G15" s="19"/>
      <c r="H15" s="27"/>
      <c r="J15" s="20"/>
    </row>
    <row r="16" spans="2:13" ht="16.5" customHeight="1" thickBot="1" x14ac:dyDescent="0.45">
      <c r="B16" s="18"/>
      <c r="C16" s="19"/>
      <c r="D16" s="41"/>
      <c r="E16" s="41"/>
      <c r="F16" s="22"/>
      <c r="G16" s="19"/>
      <c r="H16" s="27"/>
      <c r="J16" s="20"/>
    </row>
    <row r="17" spans="2:9" ht="19.5" customHeight="1" thickBot="1" x14ac:dyDescent="0.4">
      <c r="B17" s="128" t="s">
        <v>18</v>
      </c>
      <c r="C17" s="129"/>
      <c r="D17" s="129"/>
      <c r="E17" s="129"/>
      <c r="F17" s="130"/>
    </row>
    <row r="18" spans="2:9" ht="30" customHeight="1" thickBot="1" x14ac:dyDescent="0.4">
      <c r="B18" s="43"/>
      <c r="C18" s="44" t="s">
        <v>19</v>
      </c>
      <c r="D18" s="45" t="s">
        <v>20</v>
      </c>
      <c r="E18" s="45" t="s">
        <v>21</v>
      </c>
      <c r="F18" s="46" t="s">
        <v>22</v>
      </c>
      <c r="I18" s="24" t="s">
        <v>23</v>
      </c>
    </row>
    <row r="19" spans="2:9" ht="16.5" customHeight="1" x14ac:dyDescent="0.35">
      <c r="B19" s="47"/>
      <c r="C19" s="105" t="s">
        <v>24</v>
      </c>
      <c r="D19" s="49">
        <v>1.2</v>
      </c>
      <c r="E19" s="50" t="s">
        <v>25</v>
      </c>
      <c r="F19" s="51"/>
      <c r="I19" s="30" t="s">
        <v>26</v>
      </c>
    </row>
    <row r="20" spans="2:9" ht="16.5" customHeight="1" thickBot="1" x14ac:dyDescent="0.4">
      <c r="B20" s="106"/>
      <c r="C20" s="107" t="s">
        <v>27</v>
      </c>
      <c r="D20" s="108">
        <v>0.56000000000000005</v>
      </c>
      <c r="E20" s="109" t="s">
        <v>25</v>
      </c>
      <c r="F20" s="110"/>
      <c r="I20" s="25" t="s">
        <v>28</v>
      </c>
    </row>
    <row r="21" spans="2:9" ht="16.5" customHeight="1" thickBot="1" x14ac:dyDescent="0.4">
      <c r="B21" s="56" t="s">
        <v>29</v>
      </c>
      <c r="C21" s="57" t="s">
        <v>30</v>
      </c>
      <c r="D21" s="126" t="s">
        <v>119</v>
      </c>
      <c r="E21" s="111"/>
      <c r="F21" s="59">
        <v>2</v>
      </c>
      <c r="I21" s="25" t="s">
        <v>31</v>
      </c>
    </row>
    <row r="22" spans="2:9" ht="16.5" customHeight="1" x14ac:dyDescent="0.35">
      <c r="B22" s="60"/>
      <c r="C22" s="112" t="s">
        <v>32</v>
      </c>
      <c r="D22" s="49">
        <v>-12.8</v>
      </c>
      <c r="E22" s="61" t="s">
        <v>31</v>
      </c>
      <c r="F22" s="62"/>
      <c r="I22" s="25" t="s">
        <v>33</v>
      </c>
    </row>
    <row r="23" spans="2:9" ht="16.5" customHeight="1" x14ac:dyDescent="0.35">
      <c r="B23" s="70" t="s">
        <v>34</v>
      </c>
      <c r="C23" s="63" t="s">
        <v>35</v>
      </c>
      <c r="D23" s="145" t="s">
        <v>120</v>
      </c>
      <c r="E23" s="64" t="s">
        <v>31</v>
      </c>
      <c r="F23" s="65">
        <v>1</v>
      </c>
      <c r="I23" s="25" t="s">
        <v>36</v>
      </c>
    </row>
    <row r="24" spans="2:9" ht="16.5" customHeight="1" x14ac:dyDescent="0.35">
      <c r="B24" s="66"/>
      <c r="C24" s="34" t="s">
        <v>37</v>
      </c>
      <c r="D24" s="67">
        <v>-10.4</v>
      </c>
      <c r="E24" s="68" t="s">
        <v>31</v>
      </c>
      <c r="F24" s="69"/>
      <c r="I24" s="35"/>
    </row>
    <row r="25" spans="2:9" ht="16.5" customHeight="1" x14ac:dyDescent="0.35">
      <c r="B25" s="70" t="s">
        <v>38</v>
      </c>
      <c r="C25" s="63" t="s">
        <v>35</v>
      </c>
      <c r="D25" s="145" t="s">
        <v>120</v>
      </c>
      <c r="E25" s="64" t="s">
        <v>31</v>
      </c>
      <c r="F25" s="65">
        <v>1</v>
      </c>
      <c r="I25" s="25" t="s">
        <v>39</v>
      </c>
    </row>
    <row r="26" spans="2:9" ht="16.5" customHeight="1" x14ac:dyDescent="0.35">
      <c r="B26" s="66"/>
      <c r="C26" s="34" t="s">
        <v>40</v>
      </c>
      <c r="D26" s="67">
        <v>-6.2</v>
      </c>
      <c r="E26" s="68" t="s">
        <v>31</v>
      </c>
      <c r="F26" s="69"/>
      <c r="I26" s="25" t="s">
        <v>41</v>
      </c>
    </row>
    <row r="27" spans="2:9" ht="16.5" customHeight="1" x14ac:dyDescent="0.35">
      <c r="B27" s="70" t="s">
        <v>42</v>
      </c>
      <c r="C27" s="63" t="s">
        <v>35</v>
      </c>
      <c r="D27" s="145" t="s">
        <v>121</v>
      </c>
      <c r="E27" s="64" t="s">
        <v>31</v>
      </c>
      <c r="F27" s="65">
        <v>1</v>
      </c>
      <c r="I27" s="25" t="s">
        <v>43</v>
      </c>
    </row>
    <row r="28" spans="2:9" ht="16.5" customHeight="1" x14ac:dyDescent="0.35">
      <c r="B28" s="66"/>
      <c r="C28" s="78" t="s">
        <v>44</v>
      </c>
      <c r="D28" s="67">
        <v>-6</v>
      </c>
      <c r="E28" s="68" t="s">
        <v>31</v>
      </c>
      <c r="F28" s="69"/>
      <c r="I28" s="25"/>
    </row>
    <row r="29" spans="2:9" ht="16.5" customHeight="1" x14ac:dyDescent="0.35">
      <c r="B29" s="70" t="s">
        <v>45</v>
      </c>
      <c r="C29" s="63" t="s">
        <v>35</v>
      </c>
      <c r="D29" s="145" t="s">
        <v>122</v>
      </c>
      <c r="E29" s="64" t="s">
        <v>31</v>
      </c>
      <c r="F29" s="65">
        <v>1</v>
      </c>
      <c r="I29" s="25" t="s">
        <v>46</v>
      </c>
    </row>
    <row r="30" spans="2:9" ht="16.5" customHeight="1" x14ac:dyDescent="0.35">
      <c r="B30" s="66"/>
      <c r="C30" s="78" t="s">
        <v>47</v>
      </c>
      <c r="D30" s="67">
        <v>-2.6</v>
      </c>
      <c r="E30" s="68" t="s">
        <v>31</v>
      </c>
      <c r="F30" s="69"/>
      <c r="I30" s="25" t="s">
        <v>48</v>
      </c>
    </row>
    <row r="31" spans="2:9" ht="16.5" customHeight="1" thickBot="1" x14ac:dyDescent="0.4">
      <c r="B31" s="70" t="s">
        <v>49</v>
      </c>
      <c r="C31" s="63" t="s">
        <v>35</v>
      </c>
      <c r="D31" s="145" t="s">
        <v>123</v>
      </c>
      <c r="E31" s="64" t="s">
        <v>31</v>
      </c>
      <c r="F31" s="65">
        <v>1</v>
      </c>
      <c r="I31" s="31" t="s">
        <v>50</v>
      </c>
    </row>
    <row r="32" spans="2:9" ht="16.5" customHeight="1" x14ac:dyDescent="0.35">
      <c r="B32" s="66"/>
      <c r="C32" s="78" t="s">
        <v>51</v>
      </c>
      <c r="D32" s="67">
        <v>-1</v>
      </c>
      <c r="E32" s="68" t="s">
        <v>31</v>
      </c>
      <c r="F32" s="69"/>
      <c r="I32" s="122"/>
    </row>
    <row r="33" spans="2:9" ht="16.5" customHeight="1" x14ac:dyDescent="0.35">
      <c r="B33" s="70" t="s">
        <v>52</v>
      </c>
      <c r="C33" s="63" t="s">
        <v>35</v>
      </c>
      <c r="D33" s="145" t="s">
        <v>124</v>
      </c>
      <c r="E33" s="64" t="s">
        <v>31</v>
      </c>
      <c r="F33" s="65">
        <v>1</v>
      </c>
      <c r="I33" s="122"/>
    </row>
    <row r="34" spans="2:9" ht="16.5" customHeight="1" x14ac:dyDescent="0.35">
      <c r="B34" s="66"/>
      <c r="C34" s="78" t="s">
        <v>53</v>
      </c>
      <c r="D34" s="67">
        <v>0.8</v>
      </c>
      <c r="E34" s="68" t="s">
        <v>31</v>
      </c>
      <c r="F34" s="69"/>
      <c r="I34" s="122"/>
    </row>
    <row r="35" spans="2:9" ht="16.5" customHeight="1" x14ac:dyDescent="0.35">
      <c r="B35" s="70" t="s">
        <v>54</v>
      </c>
      <c r="C35" s="63" t="s">
        <v>35</v>
      </c>
      <c r="D35" s="124" t="s">
        <v>125</v>
      </c>
      <c r="E35" s="64" t="s">
        <v>31</v>
      </c>
      <c r="F35" s="65">
        <v>1</v>
      </c>
      <c r="I35" s="122"/>
    </row>
    <row r="36" spans="2:9" ht="16.5" customHeight="1" x14ac:dyDescent="0.35">
      <c r="B36" s="66"/>
      <c r="C36" s="78" t="s">
        <v>55</v>
      </c>
      <c r="D36" s="67">
        <v>2.4</v>
      </c>
      <c r="E36" s="68" t="s">
        <v>31</v>
      </c>
      <c r="F36" s="69"/>
      <c r="I36" s="122"/>
    </row>
    <row r="37" spans="2:9" ht="16.5" customHeight="1" x14ac:dyDescent="0.35">
      <c r="B37" s="70" t="s">
        <v>56</v>
      </c>
      <c r="C37" s="63" t="s">
        <v>35</v>
      </c>
      <c r="D37" s="124" t="s">
        <v>126</v>
      </c>
      <c r="E37" s="64" t="s">
        <v>31</v>
      </c>
      <c r="F37" s="65">
        <v>1</v>
      </c>
      <c r="I37" s="122"/>
    </row>
    <row r="38" spans="2:9" ht="16.5" customHeight="1" x14ac:dyDescent="0.35">
      <c r="B38" s="66"/>
      <c r="C38" s="78" t="s">
        <v>57</v>
      </c>
      <c r="D38" s="67">
        <v>5.5</v>
      </c>
      <c r="E38" s="68" t="s">
        <v>31</v>
      </c>
      <c r="F38" s="69"/>
      <c r="I38" s="122"/>
    </row>
    <row r="39" spans="2:9" ht="16.5" customHeight="1" x14ac:dyDescent="0.35">
      <c r="B39" s="70" t="s">
        <v>58</v>
      </c>
      <c r="C39" s="63" t="s">
        <v>35</v>
      </c>
      <c r="D39" s="124" t="s">
        <v>127</v>
      </c>
      <c r="E39" s="64" t="s">
        <v>31</v>
      </c>
      <c r="F39" s="65">
        <v>1</v>
      </c>
      <c r="I39" s="122"/>
    </row>
    <row r="40" spans="2:9" ht="16.5" customHeight="1" x14ac:dyDescent="0.35">
      <c r="B40" s="66"/>
      <c r="C40" s="78" t="s">
        <v>59</v>
      </c>
      <c r="D40" s="67">
        <v>7.2</v>
      </c>
      <c r="E40" s="68" t="s">
        <v>31</v>
      </c>
      <c r="F40" s="69"/>
      <c r="I40" s="122"/>
    </row>
    <row r="41" spans="2:9" ht="16.5" customHeight="1" x14ac:dyDescent="0.35">
      <c r="B41" s="70" t="s">
        <v>60</v>
      </c>
      <c r="C41" s="63" t="s">
        <v>35</v>
      </c>
      <c r="D41" s="124" t="s">
        <v>128</v>
      </c>
      <c r="E41" s="64" t="s">
        <v>31</v>
      </c>
      <c r="F41" s="65">
        <v>1</v>
      </c>
    </row>
    <row r="42" spans="2:9" ht="16.5" customHeight="1" x14ac:dyDescent="0.35">
      <c r="B42" s="66"/>
      <c r="C42" s="78" t="s">
        <v>61</v>
      </c>
      <c r="D42" s="67">
        <v>11.3</v>
      </c>
      <c r="E42" s="68" t="s">
        <v>31</v>
      </c>
      <c r="F42" s="69"/>
    </row>
    <row r="43" spans="2:9" ht="16.5" customHeight="1" x14ac:dyDescent="0.35">
      <c r="B43" s="70" t="s">
        <v>62</v>
      </c>
      <c r="C43" s="63" t="s">
        <v>35</v>
      </c>
      <c r="D43" s="124" t="s">
        <v>129</v>
      </c>
      <c r="E43" s="64" t="s">
        <v>31</v>
      </c>
      <c r="F43" s="65">
        <v>1</v>
      </c>
    </row>
    <row r="44" spans="2:9" ht="16.5" customHeight="1" x14ac:dyDescent="0.35">
      <c r="B44" s="66"/>
      <c r="C44" s="78" t="s">
        <v>63</v>
      </c>
      <c r="D44" s="67">
        <v>11.8</v>
      </c>
      <c r="E44" s="68" t="s">
        <v>31</v>
      </c>
      <c r="F44" s="69"/>
    </row>
    <row r="45" spans="2:9" ht="16.5" customHeight="1" thickBot="1" x14ac:dyDescent="0.4">
      <c r="B45" s="71" t="s">
        <v>64</v>
      </c>
      <c r="C45" s="32" t="s">
        <v>35</v>
      </c>
      <c r="D45" s="125" t="s">
        <v>129</v>
      </c>
      <c r="E45" s="72" t="s">
        <v>31</v>
      </c>
      <c r="F45" s="73">
        <v>1</v>
      </c>
    </row>
    <row r="46" spans="2:9" ht="16.5" customHeight="1" x14ac:dyDescent="0.35">
      <c r="B46" s="95" t="s">
        <v>65</v>
      </c>
      <c r="C46" s="116" t="s">
        <v>66</v>
      </c>
      <c r="D46" s="123" t="s">
        <v>130</v>
      </c>
      <c r="E46" s="117"/>
      <c r="F46" s="97">
        <v>2</v>
      </c>
    </row>
    <row r="47" spans="2:9" ht="16.5" customHeight="1" x14ac:dyDescent="0.35">
      <c r="B47" s="70" t="s">
        <v>67</v>
      </c>
      <c r="C47" s="96" t="s">
        <v>68</v>
      </c>
      <c r="D47" s="124" t="s">
        <v>131</v>
      </c>
      <c r="E47" s="104" t="s">
        <v>69</v>
      </c>
      <c r="F47" s="65">
        <v>2</v>
      </c>
    </row>
    <row r="48" spans="2:9" ht="16.5" customHeight="1" thickBot="1" x14ac:dyDescent="0.4">
      <c r="B48" s="71" t="s">
        <v>70</v>
      </c>
      <c r="C48" s="74" t="s">
        <v>71</v>
      </c>
      <c r="D48" s="125">
        <v>1</v>
      </c>
      <c r="E48" s="113"/>
      <c r="F48" s="73">
        <v>2</v>
      </c>
    </row>
    <row r="49" spans="2:13" ht="16.5" customHeight="1" thickBot="1" x14ac:dyDescent="0.4">
      <c r="E49" s="114" t="s">
        <v>72</v>
      </c>
      <c r="F49" s="115">
        <f>SUM(F21:F48)</f>
        <v>20</v>
      </c>
    </row>
    <row r="51" spans="2:13" ht="16.5" customHeight="1" x14ac:dyDescent="0.35">
      <c r="B51" s="79"/>
      <c r="C51" s="80"/>
      <c r="D51" s="80"/>
      <c r="E51" s="80"/>
      <c r="F51" s="81"/>
    </row>
    <row r="52" spans="2:13" ht="16.5" customHeight="1" thickBot="1" x14ac:dyDescent="0.4">
      <c r="L52" s="19"/>
      <c r="M52" s="19"/>
    </row>
    <row r="53" spans="2:13" ht="19.5" customHeight="1" thickBot="1" x14ac:dyDescent="0.4">
      <c r="B53" s="128" t="s">
        <v>73</v>
      </c>
      <c r="C53" s="129"/>
      <c r="D53" s="129"/>
      <c r="E53" s="129"/>
      <c r="F53" s="130"/>
      <c r="L53" s="19"/>
      <c r="M53" s="19"/>
    </row>
    <row r="54" spans="2:13" ht="30" customHeight="1" thickBot="1" x14ac:dyDescent="0.4">
      <c r="B54" s="75"/>
      <c r="C54" s="44" t="s">
        <v>19</v>
      </c>
      <c r="D54" s="76" t="s">
        <v>20</v>
      </c>
      <c r="E54" s="76" t="s">
        <v>21</v>
      </c>
      <c r="F54" s="77" t="s">
        <v>22</v>
      </c>
      <c r="G54" s="26"/>
      <c r="H54" s="27"/>
      <c r="J54" s="20"/>
    </row>
    <row r="55" spans="2:13" ht="16.5" customHeight="1" x14ac:dyDescent="0.35">
      <c r="B55" s="47"/>
      <c r="C55" s="48" t="s">
        <v>24</v>
      </c>
      <c r="D55" s="49">
        <v>2.7</v>
      </c>
      <c r="E55" s="50" t="s">
        <v>25</v>
      </c>
      <c r="F55" s="51"/>
      <c r="L55" s="19"/>
      <c r="M55" s="28"/>
    </row>
    <row r="56" spans="2:13" ht="16.5" customHeight="1" thickBot="1" x14ac:dyDescent="0.4">
      <c r="B56" s="52"/>
      <c r="C56" s="33" t="s">
        <v>27</v>
      </c>
      <c r="D56" s="53">
        <v>6.8</v>
      </c>
      <c r="E56" s="54" t="s">
        <v>25</v>
      </c>
      <c r="F56" s="55"/>
      <c r="L56" s="19"/>
      <c r="M56" s="28"/>
    </row>
    <row r="57" spans="2:13" ht="16.5" customHeight="1" thickBot="1" x14ac:dyDescent="0.4">
      <c r="B57" s="56" t="s">
        <v>74</v>
      </c>
      <c r="C57" s="57" t="s">
        <v>30</v>
      </c>
      <c r="D57" s="146" t="s">
        <v>132</v>
      </c>
      <c r="E57" s="58"/>
      <c r="F57" s="59">
        <v>2</v>
      </c>
      <c r="L57" s="19"/>
      <c r="M57" s="28"/>
    </row>
    <row r="58" spans="2:13" ht="16.5" customHeight="1" x14ac:dyDescent="0.35">
      <c r="B58" s="60"/>
      <c r="C58" s="112" t="s">
        <v>75</v>
      </c>
      <c r="D58" s="49">
        <v>-7</v>
      </c>
      <c r="E58" s="61" t="s">
        <v>31</v>
      </c>
      <c r="F58" s="62"/>
      <c r="L58" s="19"/>
      <c r="M58" s="28"/>
    </row>
    <row r="59" spans="2:13" ht="16.5" customHeight="1" x14ac:dyDescent="0.35">
      <c r="B59" s="70" t="s">
        <v>76</v>
      </c>
      <c r="C59" s="63" t="s">
        <v>35</v>
      </c>
      <c r="D59" s="124" t="s">
        <v>133</v>
      </c>
      <c r="E59" s="64" t="s">
        <v>31</v>
      </c>
      <c r="F59" s="65">
        <v>1</v>
      </c>
      <c r="L59" s="19"/>
      <c r="M59" s="19"/>
    </row>
    <row r="60" spans="2:13" ht="16.5" customHeight="1" x14ac:dyDescent="0.35">
      <c r="B60" s="66"/>
      <c r="C60" s="34" t="s">
        <v>77</v>
      </c>
      <c r="D60" s="67">
        <v>-5.6</v>
      </c>
      <c r="E60" s="68" t="s">
        <v>31</v>
      </c>
      <c r="F60" s="69"/>
      <c r="L60" s="19"/>
      <c r="M60" s="19"/>
    </row>
    <row r="61" spans="2:13" ht="16.5" customHeight="1" x14ac:dyDescent="0.35">
      <c r="B61" s="70" t="s">
        <v>78</v>
      </c>
      <c r="C61" s="63" t="s">
        <v>35</v>
      </c>
      <c r="D61" s="124" t="s">
        <v>133</v>
      </c>
      <c r="E61" s="64" t="s">
        <v>31</v>
      </c>
      <c r="F61" s="65">
        <v>1</v>
      </c>
      <c r="L61" s="19"/>
      <c r="M61" s="19"/>
    </row>
    <row r="62" spans="2:13" ht="16.5" customHeight="1" x14ac:dyDescent="0.35">
      <c r="B62" s="66"/>
      <c r="C62" s="78" t="s">
        <v>79</v>
      </c>
      <c r="D62" s="67">
        <v>-3.8</v>
      </c>
      <c r="E62" s="68" t="s">
        <v>31</v>
      </c>
      <c r="F62" s="69"/>
      <c r="L62" s="19"/>
      <c r="M62" s="19"/>
    </row>
    <row r="63" spans="2:13" ht="16.5" customHeight="1" x14ac:dyDescent="0.35">
      <c r="B63" s="70" t="s">
        <v>80</v>
      </c>
      <c r="C63" s="63" t="s">
        <v>35</v>
      </c>
      <c r="D63" s="124" t="s">
        <v>134</v>
      </c>
      <c r="E63" s="64" t="s">
        <v>31</v>
      </c>
      <c r="F63" s="65">
        <v>1</v>
      </c>
      <c r="L63" s="19"/>
      <c r="M63" s="19"/>
    </row>
    <row r="64" spans="2:13" ht="16.5" customHeight="1" x14ac:dyDescent="0.35">
      <c r="B64" s="66"/>
      <c r="C64" s="78" t="s">
        <v>81</v>
      </c>
      <c r="D64" s="67">
        <v>-3.1</v>
      </c>
      <c r="E64" s="68" t="s">
        <v>31</v>
      </c>
      <c r="F64" s="69"/>
      <c r="J64" s="20"/>
      <c r="K64" s="19"/>
    </row>
    <row r="65" spans="2:11" ht="16.5" customHeight="1" x14ac:dyDescent="0.35">
      <c r="B65" s="70" t="s">
        <v>82</v>
      </c>
      <c r="C65" s="63" t="s">
        <v>35</v>
      </c>
      <c r="D65" s="124" t="s">
        <v>135</v>
      </c>
      <c r="E65" s="64" t="s">
        <v>31</v>
      </c>
      <c r="F65" s="65">
        <v>1</v>
      </c>
      <c r="J65" s="20"/>
      <c r="K65" s="19"/>
    </row>
    <row r="66" spans="2:11" ht="16.5" customHeight="1" x14ac:dyDescent="0.35">
      <c r="B66" s="66"/>
      <c r="C66" s="78" t="s">
        <v>83</v>
      </c>
      <c r="D66" s="67">
        <v>-2</v>
      </c>
      <c r="E66" s="68" t="s">
        <v>31</v>
      </c>
      <c r="F66" s="69"/>
      <c r="J66" s="20"/>
      <c r="K66" s="19"/>
    </row>
    <row r="67" spans="2:11" ht="16.5" customHeight="1" x14ac:dyDescent="0.35">
      <c r="B67" s="70" t="s">
        <v>84</v>
      </c>
      <c r="C67" s="63" t="s">
        <v>35</v>
      </c>
      <c r="D67" s="124" t="s">
        <v>136</v>
      </c>
      <c r="E67" s="64" t="s">
        <v>31</v>
      </c>
      <c r="F67" s="65">
        <v>1</v>
      </c>
      <c r="J67" s="20"/>
      <c r="K67" s="19"/>
    </row>
    <row r="68" spans="2:11" ht="16.5" customHeight="1" x14ac:dyDescent="0.35">
      <c r="B68" s="66"/>
      <c r="C68" s="78" t="s">
        <v>85</v>
      </c>
      <c r="D68" s="67">
        <v>-0.3</v>
      </c>
      <c r="E68" s="68" t="s">
        <v>31</v>
      </c>
      <c r="F68" s="69"/>
      <c r="J68" s="20"/>
      <c r="K68" s="19"/>
    </row>
    <row r="69" spans="2:11" ht="16.5" customHeight="1" x14ac:dyDescent="0.35">
      <c r="B69" s="70" t="s">
        <v>86</v>
      </c>
      <c r="C69" s="63" t="s">
        <v>35</v>
      </c>
      <c r="D69" s="124">
        <v>756</v>
      </c>
      <c r="E69" s="64" t="s">
        <v>28</v>
      </c>
      <c r="F69" s="65">
        <v>1</v>
      </c>
      <c r="J69" s="20"/>
      <c r="K69" s="19"/>
    </row>
    <row r="70" spans="2:11" ht="16.5" customHeight="1" x14ac:dyDescent="0.35">
      <c r="B70" s="66"/>
      <c r="C70" s="78" t="s">
        <v>87</v>
      </c>
      <c r="D70" s="67">
        <v>1</v>
      </c>
      <c r="E70" s="68" t="s">
        <v>31</v>
      </c>
      <c r="F70" s="69"/>
      <c r="J70" s="20"/>
      <c r="K70" s="19"/>
    </row>
    <row r="71" spans="2:11" ht="16.5" customHeight="1" x14ac:dyDescent="0.35">
      <c r="B71" s="70" t="s">
        <v>88</v>
      </c>
      <c r="C71" s="63" t="s">
        <v>35</v>
      </c>
      <c r="D71" s="145" t="s">
        <v>132</v>
      </c>
      <c r="E71" s="64" t="s">
        <v>31</v>
      </c>
      <c r="F71" s="65">
        <v>1</v>
      </c>
      <c r="J71" s="20"/>
      <c r="K71" s="19"/>
    </row>
    <row r="72" spans="2:11" ht="16.5" customHeight="1" x14ac:dyDescent="0.35">
      <c r="B72" s="66"/>
      <c r="C72" s="78" t="s">
        <v>89</v>
      </c>
      <c r="D72" s="67">
        <v>1.8</v>
      </c>
      <c r="E72" s="68" t="s">
        <v>31</v>
      </c>
      <c r="F72" s="69"/>
      <c r="J72" s="20"/>
      <c r="K72" s="19"/>
    </row>
    <row r="73" spans="2:11" ht="16.5" customHeight="1" x14ac:dyDescent="0.35">
      <c r="B73" s="70" t="s">
        <v>90</v>
      </c>
      <c r="C73" s="63" t="s">
        <v>35</v>
      </c>
      <c r="D73" s="145" t="s">
        <v>137</v>
      </c>
      <c r="E73" s="64" t="s">
        <v>31</v>
      </c>
      <c r="F73" s="65">
        <v>1</v>
      </c>
      <c r="J73" s="20"/>
      <c r="K73" s="19"/>
    </row>
    <row r="74" spans="2:11" ht="16.5" customHeight="1" x14ac:dyDescent="0.35">
      <c r="B74" s="66"/>
      <c r="C74" s="78" t="s">
        <v>91</v>
      </c>
      <c r="D74" s="67">
        <v>3.3</v>
      </c>
      <c r="E74" s="68" t="s">
        <v>31</v>
      </c>
      <c r="F74" s="69"/>
      <c r="J74" s="20"/>
      <c r="K74" s="29"/>
    </row>
    <row r="75" spans="2:11" ht="16.5" customHeight="1" x14ac:dyDescent="0.35">
      <c r="B75" s="70" t="s">
        <v>92</v>
      </c>
      <c r="C75" s="63" t="s">
        <v>35</v>
      </c>
      <c r="D75" s="145" t="s">
        <v>138</v>
      </c>
      <c r="E75" s="64" t="s">
        <v>31</v>
      </c>
      <c r="F75" s="65">
        <v>1</v>
      </c>
      <c r="J75" s="20"/>
      <c r="K75" s="29"/>
    </row>
    <row r="76" spans="2:11" ht="16.5" customHeight="1" x14ac:dyDescent="0.35">
      <c r="B76" s="66"/>
      <c r="C76" s="78" t="s">
        <v>93</v>
      </c>
      <c r="D76" s="67">
        <v>3.8</v>
      </c>
      <c r="E76" s="68" t="s">
        <v>31</v>
      </c>
      <c r="F76" s="69"/>
      <c r="J76" s="20"/>
      <c r="K76" s="29"/>
    </row>
    <row r="77" spans="2:11" ht="16.5" customHeight="1" x14ac:dyDescent="0.35">
      <c r="B77" s="70" t="s">
        <v>94</v>
      </c>
      <c r="C77" s="63" t="s">
        <v>35</v>
      </c>
      <c r="D77" s="145" t="s">
        <v>139</v>
      </c>
      <c r="E77" s="64" t="s">
        <v>31</v>
      </c>
      <c r="F77" s="65">
        <v>1</v>
      </c>
      <c r="J77" s="20"/>
      <c r="K77" s="29"/>
    </row>
    <row r="78" spans="2:11" ht="16.5" customHeight="1" x14ac:dyDescent="0.35">
      <c r="B78" s="66"/>
      <c r="C78" s="78" t="s">
        <v>95</v>
      </c>
      <c r="D78" s="67">
        <v>5.4</v>
      </c>
      <c r="E78" s="68" t="s">
        <v>31</v>
      </c>
      <c r="F78" s="69"/>
      <c r="J78" s="20"/>
      <c r="K78" s="29"/>
    </row>
    <row r="79" spans="2:11" ht="16.5" customHeight="1" x14ac:dyDescent="0.35">
      <c r="B79" s="70" t="s">
        <v>96</v>
      </c>
      <c r="C79" s="63" t="s">
        <v>35</v>
      </c>
      <c r="D79" s="145" t="s">
        <v>140</v>
      </c>
      <c r="E79" s="64" t="s">
        <v>31</v>
      </c>
      <c r="F79" s="65">
        <v>1</v>
      </c>
      <c r="J79" s="20"/>
      <c r="K79" s="29"/>
    </row>
    <row r="80" spans="2:11" ht="16.5" customHeight="1" x14ac:dyDescent="0.35">
      <c r="B80" s="66"/>
      <c r="C80" s="78" t="s">
        <v>97</v>
      </c>
      <c r="D80" s="67">
        <v>6</v>
      </c>
      <c r="E80" s="68" t="s">
        <v>31</v>
      </c>
      <c r="F80" s="69"/>
      <c r="J80" s="20"/>
      <c r="K80" s="29"/>
    </row>
    <row r="81" spans="2:11" ht="16.5" customHeight="1" thickBot="1" x14ac:dyDescent="0.4">
      <c r="B81" s="71" t="s">
        <v>98</v>
      </c>
      <c r="C81" s="32" t="s">
        <v>35</v>
      </c>
      <c r="D81" s="147" t="s">
        <v>140</v>
      </c>
      <c r="E81" s="72" t="s">
        <v>31</v>
      </c>
      <c r="F81" s="73">
        <v>1</v>
      </c>
      <c r="J81" s="20"/>
      <c r="K81" s="29"/>
    </row>
    <row r="82" spans="2:11" ht="16.5" customHeight="1" x14ac:dyDescent="0.35">
      <c r="B82" s="95" t="s">
        <v>99</v>
      </c>
      <c r="C82" s="116" t="s">
        <v>66</v>
      </c>
      <c r="D82" s="148" t="s">
        <v>132</v>
      </c>
      <c r="E82" s="117"/>
      <c r="F82" s="97">
        <v>2</v>
      </c>
      <c r="J82" s="20"/>
      <c r="K82" s="19"/>
    </row>
    <row r="83" spans="2:11" ht="16.5" customHeight="1" x14ac:dyDescent="0.35">
      <c r="B83" s="70" t="s">
        <v>100</v>
      </c>
      <c r="C83" s="96" t="s">
        <v>68</v>
      </c>
      <c r="D83" s="124">
        <v>200</v>
      </c>
      <c r="E83" s="104" t="s">
        <v>69</v>
      </c>
      <c r="F83" s="65">
        <v>2</v>
      </c>
      <c r="J83" s="20"/>
      <c r="K83" s="19"/>
    </row>
    <row r="84" spans="2:11" ht="16.5" customHeight="1" thickBot="1" x14ac:dyDescent="0.4">
      <c r="B84" s="71" t="s">
        <v>101</v>
      </c>
      <c r="C84" s="74" t="s">
        <v>71</v>
      </c>
      <c r="D84" s="125">
        <v>2</v>
      </c>
      <c r="E84" s="113"/>
      <c r="F84" s="73">
        <v>2</v>
      </c>
      <c r="J84" s="20"/>
      <c r="K84" s="19"/>
    </row>
    <row r="85" spans="2:11" ht="16.5" customHeight="1" thickBot="1" x14ac:dyDescent="0.4">
      <c r="E85" s="114" t="s">
        <v>72</v>
      </c>
      <c r="F85" s="115">
        <f>SUM(F57:F84)</f>
        <v>20</v>
      </c>
    </row>
    <row r="87" spans="2:11" ht="16.5" customHeight="1" x14ac:dyDescent="0.35">
      <c r="B87" s="79"/>
      <c r="C87" s="80"/>
      <c r="D87" s="80"/>
      <c r="E87" s="80"/>
      <c r="F87" s="81"/>
    </row>
    <row r="88" spans="2:11" ht="16.5" customHeight="1" thickBot="1" x14ac:dyDescent="0.4"/>
    <row r="89" spans="2:11" ht="19.5" customHeight="1" thickBot="1" x14ac:dyDescent="0.4">
      <c r="B89" s="128" t="s">
        <v>102</v>
      </c>
      <c r="C89" s="129"/>
      <c r="D89" s="129"/>
      <c r="E89" s="129"/>
      <c r="F89" s="130"/>
    </row>
    <row r="90" spans="2:11" ht="30" customHeight="1" thickBot="1" x14ac:dyDescent="0.4">
      <c r="B90" s="82"/>
      <c r="C90" s="44" t="s">
        <v>19</v>
      </c>
      <c r="D90" s="44" t="s">
        <v>20</v>
      </c>
      <c r="E90" s="44" t="s">
        <v>21</v>
      </c>
      <c r="F90" s="83" t="s">
        <v>22</v>
      </c>
    </row>
    <row r="91" spans="2:11" ht="16.5" customHeight="1" x14ac:dyDescent="0.35">
      <c r="B91" s="47"/>
      <c r="C91" s="105" t="s">
        <v>24</v>
      </c>
      <c r="D91" s="49">
        <v>6.8000000000000007</v>
      </c>
      <c r="E91" s="118" t="s">
        <v>25</v>
      </c>
      <c r="F91" s="51"/>
    </row>
    <row r="92" spans="2:11" ht="16.5" customHeight="1" x14ac:dyDescent="0.35">
      <c r="B92" s="52"/>
      <c r="C92" s="33" t="s">
        <v>27</v>
      </c>
      <c r="D92" s="87">
        <v>2.2000000000000002</v>
      </c>
      <c r="E92" s="88" t="s">
        <v>25</v>
      </c>
      <c r="F92" s="89"/>
    </row>
    <row r="93" spans="2:11" ht="16.5" customHeight="1" x14ac:dyDescent="0.35">
      <c r="B93" s="52"/>
      <c r="C93" s="48" t="s">
        <v>103</v>
      </c>
      <c r="D93" s="90">
        <v>10</v>
      </c>
      <c r="E93" s="85" t="s">
        <v>25</v>
      </c>
      <c r="F93" s="91"/>
    </row>
    <row r="94" spans="2:11" ht="16.5" customHeight="1" x14ac:dyDescent="0.35">
      <c r="B94" s="52"/>
      <c r="C94" s="33" t="s">
        <v>104</v>
      </c>
      <c r="D94" s="87">
        <v>27</v>
      </c>
      <c r="E94" s="88" t="s">
        <v>25</v>
      </c>
      <c r="F94" s="89"/>
    </row>
    <row r="95" spans="2:11" ht="16.5" customHeight="1" x14ac:dyDescent="0.35">
      <c r="B95" s="52"/>
      <c r="C95" s="48" t="s">
        <v>105</v>
      </c>
      <c r="D95" s="84">
        <v>6.2</v>
      </c>
      <c r="E95" s="92" t="s">
        <v>31</v>
      </c>
      <c r="F95" s="86"/>
    </row>
    <row r="96" spans="2:11" ht="16.5" customHeight="1" x14ac:dyDescent="0.35">
      <c r="B96" s="52"/>
      <c r="C96" s="93" t="s">
        <v>106</v>
      </c>
      <c r="D96" s="94">
        <v>1.1000000000000001</v>
      </c>
      <c r="E96" s="93" t="s">
        <v>31</v>
      </c>
      <c r="F96" s="89"/>
    </row>
    <row r="97" spans="2:11" ht="16.5" customHeight="1" x14ac:dyDescent="0.35">
      <c r="B97" s="52"/>
      <c r="C97" s="92" t="s">
        <v>107</v>
      </c>
      <c r="D97" s="84">
        <v>4</v>
      </c>
      <c r="E97" s="92" t="s">
        <v>48</v>
      </c>
      <c r="F97" s="86"/>
    </row>
    <row r="98" spans="2:11" ht="16.5" customHeight="1" thickBot="1" x14ac:dyDescent="0.4">
      <c r="B98" s="106"/>
      <c r="C98" s="127" t="s">
        <v>108</v>
      </c>
      <c r="D98" s="119">
        <v>50</v>
      </c>
      <c r="E98" s="120" t="s">
        <v>109</v>
      </c>
      <c r="F98" s="121"/>
      <c r="J98" s="20"/>
      <c r="K98" s="19"/>
    </row>
    <row r="99" spans="2:11" ht="16.5" customHeight="1" x14ac:dyDescent="0.35">
      <c r="B99" s="95" t="s">
        <v>110</v>
      </c>
      <c r="C99" s="116" t="s">
        <v>111</v>
      </c>
      <c r="D99" s="123" t="s">
        <v>141</v>
      </c>
      <c r="E99" s="103" t="s">
        <v>31</v>
      </c>
      <c r="F99" s="97">
        <v>2</v>
      </c>
    </row>
    <row r="100" spans="2:11" ht="16.5" customHeight="1" thickBot="1" x14ac:dyDescent="0.4">
      <c r="B100" s="71" t="s">
        <v>112</v>
      </c>
      <c r="C100" s="74" t="s">
        <v>107</v>
      </c>
      <c r="D100" s="125" t="s">
        <v>142</v>
      </c>
      <c r="E100" s="72" t="s">
        <v>46</v>
      </c>
      <c r="F100" s="73">
        <v>2</v>
      </c>
    </row>
    <row r="101" spans="2:11" ht="16.5" customHeight="1" thickBot="1" x14ac:dyDescent="0.4">
      <c r="E101" s="114" t="s">
        <v>72</v>
      </c>
      <c r="F101" s="115">
        <f>SUM(F99:F100)</f>
        <v>4</v>
      </c>
    </row>
    <row r="103" spans="2:11" ht="16.5" customHeight="1" x14ac:dyDescent="0.35">
      <c r="B103" s="79"/>
      <c r="C103" s="80"/>
      <c r="D103" s="80"/>
      <c r="E103" s="80"/>
      <c r="F103" s="81"/>
    </row>
    <row r="104" spans="2:11" ht="16.5" customHeight="1" thickBot="1" x14ac:dyDescent="0.4"/>
    <row r="105" spans="2:11" ht="19.5" customHeight="1" thickBot="1" x14ac:dyDescent="0.4">
      <c r="B105" s="128" t="s">
        <v>113</v>
      </c>
      <c r="C105" s="129"/>
      <c r="D105" s="129"/>
      <c r="E105" s="129"/>
      <c r="F105" s="130"/>
    </row>
    <row r="106" spans="2:11" ht="30" customHeight="1" thickBot="1" x14ac:dyDescent="0.4">
      <c r="B106" s="75"/>
      <c r="C106" s="76" t="s">
        <v>19</v>
      </c>
      <c r="D106" s="76" t="s">
        <v>20</v>
      </c>
      <c r="E106" s="76" t="s">
        <v>21</v>
      </c>
      <c r="F106" s="77" t="s">
        <v>22</v>
      </c>
      <c r="J106" s="20"/>
      <c r="K106" s="19"/>
    </row>
    <row r="107" spans="2:11" ht="16.5" customHeight="1" x14ac:dyDescent="0.35">
      <c r="B107" s="47"/>
      <c r="C107" s="98" t="s">
        <v>108</v>
      </c>
      <c r="D107" s="49">
        <v>0.5</v>
      </c>
      <c r="E107" s="50" t="s">
        <v>41</v>
      </c>
      <c r="F107" s="51"/>
    </row>
    <row r="108" spans="2:11" ht="16.5" customHeight="1" thickBot="1" x14ac:dyDescent="0.4">
      <c r="B108" s="52"/>
      <c r="C108" s="99" t="s">
        <v>114</v>
      </c>
      <c r="D108" s="100">
        <v>200</v>
      </c>
      <c r="E108" s="101" t="s">
        <v>28</v>
      </c>
      <c r="F108" s="102"/>
    </row>
    <row r="109" spans="2:11" ht="16.5" customHeight="1" x14ac:dyDescent="0.35">
      <c r="B109" s="95" t="s">
        <v>115</v>
      </c>
      <c r="C109" s="116" t="s">
        <v>105</v>
      </c>
      <c r="D109" s="123" t="s">
        <v>143</v>
      </c>
      <c r="E109" s="103" t="s">
        <v>31</v>
      </c>
      <c r="F109" s="97">
        <v>2</v>
      </c>
    </row>
    <row r="110" spans="2:11" ht="16.5" customHeight="1" x14ac:dyDescent="0.35">
      <c r="B110" s="70" t="s">
        <v>116</v>
      </c>
      <c r="C110" s="96" t="s">
        <v>107</v>
      </c>
      <c r="D110" s="124" t="s">
        <v>144</v>
      </c>
      <c r="E110" s="64" t="s">
        <v>46</v>
      </c>
      <c r="F110" s="65">
        <v>2</v>
      </c>
    </row>
    <row r="111" spans="2:11" ht="16.5" customHeight="1" thickBot="1" x14ac:dyDescent="0.4">
      <c r="B111" s="71" t="s">
        <v>117</v>
      </c>
      <c r="C111" s="74" t="s">
        <v>118</v>
      </c>
      <c r="D111" s="125" t="s">
        <v>145</v>
      </c>
      <c r="E111" s="72" t="s">
        <v>41</v>
      </c>
      <c r="F111" s="73">
        <v>2</v>
      </c>
    </row>
    <row r="112" spans="2:11" ht="16.5" customHeight="1" thickBot="1" x14ac:dyDescent="0.4">
      <c r="E112" s="114" t="s">
        <v>72</v>
      </c>
      <c r="F112" s="115">
        <f>SUM(F109:F111)</f>
        <v>6</v>
      </c>
    </row>
    <row r="114" spans="2:11" ht="16.5" customHeight="1" x14ac:dyDescent="0.35">
      <c r="B114" s="79"/>
      <c r="C114" s="80"/>
      <c r="D114" s="80"/>
      <c r="E114" s="80"/>
      <c r="F114" s="81"/>
    </row>
    <row r="121" spans="2:11" ht="16.5" customHeight="1" x14ac:dyDescent="0.35">
      <c r="J121" s="20"/>
      <c r="K121" s="19"/>
    </row>
  </sheetData>
  <mergeCells count="15">
    <mergeCell ref="B53:F53"/>
    <mergeCell ref="B89:F89"/>
    <mergeCell ref="B105:F105"/>
    <mergeCell ref="B17:F17"/>
    <mergeCell ref="E1:F1"/>
    <mergeCell ref="B2:C2"/>
    <mergeCell ref="E2:F2"/>
    <mergeCell ref="B4:F4"/>
    <mergeCell ref="B1:C1"/>
    <mergeCell ref="D14:E14"/>
    <mergeCell ref="D15:E15"/>
    <mergeCell ref="C6:D6"/>
    <mergeCell ref="C7:D7"/>
    <mergeCell ref="C8:D8"/>
    <mergeCell ref="B10:F10"/>
  </mergeCells>
  <dataValidations count="3">
    <dataValidation errorStyle="warning" showInputMessage="1" showErrorMessage="1" errorTitle="User input not on list" error="The input you have entered does not appear on the list. Select your units from the drop down list. Type your unit if your unit does not appear on the list." sqref="F1:XFD1048576 E24 E112:E1048576 E101:E108 E82:E98 E80 E78 E76 E74 E72 E70 E68 E66 E64 E62 E60 E46:E58 E44 E42 E40 E38 E36 E34 E32 E30 E28 E26 E1:E22 A1:C1048576 D1:D47 D49:D83 D85:D1048576" xr:uid="{00000000-0002-0000-0000-000000000000}"/>
    <dataValidation type="list" errorStyle="warning" showInputMessage="1" showErrorMessage="1" errorTitle="Input not on predefined list" error="The unit you have entered is not in the list of predefined units. If you are sure your unit is correct, ignore this message." sqref="E23 E25 E27 E29 E31 E33 E35 E37 E39 E41 E43 E45 E59 E61 E63 E65 E67 E69 E71 E73 E75 E77 E79 E81 E99:E100 E109:E111" xr:uid="{00000000-0002-0000-0000-000001000000}">
      <formula1>$I$19:$I$40</formula1>
    </dataValidation>
    <dataValidation type="whole" errorStyle="warning" showInputMessage="1" showErrorMessage="1" errorTitle="Invalid input" error="Enter either 1 for True or 2 for False. " sqref="D48 D84" xr:uid="{00000000-0002-0000-0000-000002000000}">
      <formula1>1</formula1>
      <formula2>2</formula2>
    </dataValidation>
  </dataValidations>
  <pageMargins left="0.70833333333333304" right="0.70833333333333304" top="0.74791666666666701" bottom="0.74791666666666701"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 Grobler</dc:creator>
  <cp:lastModifiedBy>ruan reyneke</cp:lastModifiedBy>
  <cp:revision>42</cp:revision>
  <dcterms:created xsi:type="dcterms:W3CDTF">2018-04-10T11:33:09Z</dcterms:created>
  <dcterms:modified xsi:type="dcterms:W3CDTF">2021-06-23T15:09:01Z</dcterms:modified>
  <dc:language>en-ZA</dc:language>
</cp:coreProperties>
</file>