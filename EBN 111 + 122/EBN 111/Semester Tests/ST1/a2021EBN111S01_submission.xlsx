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ade48070aa831da/Desktop/EBN 111/"/>
    </mc:Choice>
  </mc:AlternateContent>
  <xr:revisionPtr revIDLastSave="35" documentId="11_27D988F86A1490DB14935FF523038214D5F49204" xr6:coauthVersionLast="46" xr6:coauthVersionMax="46" xr10:uidLastSave="{79E3F92E-D38C-4204-B3F9-6E6E3FB5C09A}"/>
  <bookViews>
    <workbookView xWindow="-110" yWindow="-110" windowWidth="19420" windowHeight="11020" tabRatio="500" xr2:uid="{00000000-000D-0000-FFFF-FFFF00000000}"/>
  </bookViews>
  <sheets>
    <sheet name="Sheet1" sheetId="1" r:id="rId1"/>
    <sheet name="Sheet2" sheetId="2" r:id="rId2"/>
  </sheets>
  <definedNames>
    <definedName name="_xlnm.Print_Area" localSheetId="0">Sheet1!$B$1:$F$15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71" i="1" l="1"/>
  <c r="F161" i="1"/>
  <c r="F148" i="1"/>
  <c r="F137" i="1"/>
  <c r="F125" i="1"/>
  <c r="F113" i="1"/>
  <c r="F104" i="1"/>
  <c r="F93" i="1"/>
  <c r="F84" i="1"/>
  <c r="F75" i="1"/>
  <c r="F66" i="1"/>
  <c r="F55" i="1"/>
  <c r="F44" i="1"/>
  <c r="F34" i="1"/>
  <c r="F25" i="1"/>
</calcChain>
</file>

<file path=xl/sharedStrings.xml><?xml version="1.0" encoding="utf-8"?>
<sst xmlns="http://schemas.openxmlformats.org/spreadsheetml/2006/main" count="273" uniqueCount="141">
  <si>
    <t>2021EBN111S01</t>
  </si>
  <si>
    <t>Student number:</t>
  </si>
  <si>
    <t>21495034</t>
  </si>
  <si>
    <t>22/04/2021 11:30 AM - 22/04/2021 13:10 AM</t>
  </si>
  <si>
    <t>Surname &amp; Initials:</t>
  </si>
  <si>
    <t>The general rules and guidelines of electronic evaluation for the Department of Electrical, Electronic and Computer Engineering applies. A copy of the document is available for download from the server.</t>
  </si>
  <si>
    <t>Cells in GREEN contain given parameter values and must not be changed.</t>
  </si>
  <si>
    <t>Your answers are only allowed to be input in the YELLOW cells.</t>
  </si>
  <si>
    <t xml:space="preserve">Cells in BLACK are the question separaters. </t>
  </si>
  <si>
    <t>Units:  For symbols such has Ω as µA you must use the corresponding codes in the list of valid units (Column I) to the right, i.e.,:  &amp;Omega; and &amp;mu;A</t>
  </si>
  <si>
    <t>Complex numbers:  Rectangular format:</t>
  </si>
  <si>
    <t>1.23 + j4.56</t>
  </si>
  <si>
    <t>k&amp;Omega;</t>
  </si>
  <si>
    <t>Polar Format:</t>
  </si>
  <si>
    <t>1.23&amp;ang;4.56&amp;deg;</t>
  </si>
  <si>
    <t>mA</t>
  </si>
  <si>
    <t>Total Marks:</t>
  </si>
  <si>
    <t>Full Marks:</t>
  </si>
  <si>
    <t>Section 1</t>
  </si>
  <si>
    <t>Question 1</t>
  </si>
  <si>
    <t>Parameter / Description</t>
  </si>
  <si>
    <t>Numerical</t>
  </si>
  <si>
    <t>Units / Alphanumeric</t>
  </si>
  <si>
    <t>Marks</t>
  </si>
  <si>
    <t>List of examples of valid units</t>
  </si>
  <si>
    <t>x</t>
  </si>
  <si>
    <t>W</t>
  </si>
  <si>
    <t>mV</t>
  </si>
  <si>
    <t>y</t>
  </si>
  <si>
    <t>V</t>
  </si>
  <si>
    <t>z</t>
  </si>
  <si>
    <t>hours</t>
  </si>
  <si>
    <t>kV</t>
  </si>
  <si>
    <t>01</t>
  </si>
  <si>
    <t>Savings</t>
  </si>
  <si>
    <t>&amp;mu;A</t>
  </si>
  <si>
    <t>Total</t>
  </si>
  <si>
    <t>A</t>
  </si>
  <si>
    <t>m&amp;Omega;</t>
  </si>
  <si>
    <t>&amp;Omega;</t>
  </si>
  <si>
    <t>Question 2</t>
  </si>
  <si>
    <t>M&amp;Omega;</t>
  </si>
  <si>
    <t>a</t>
  </si>
  <si>
    <t>s</t>
  </si>
  <si>
    <t>b</t>
  </si>
  <si>
    <t>ms</t>
  </si>
  <si>
    <t>02</t>
  </si>
  <si>
    <t>&amp;mu;s</t>
  </si>
  <si>
    <t>C</t>
  </si>
  <si>
    <t>mW</t>
  </si>
  <si>
    <t>kW</t>
  </si>
  <si>
    <t>Question 3 to 4</t>
  </si>
  <si>
    <t>mJ</t>
  </si>
  <si>
    <t>J</t>
  </si>
  <si>
    <t>V_x</t>
  </si>
  <si>
    <t>kJ</t>
  </si>
  <si>
    <t>I_S</t>
  </si>
  <si>
    <t>03</t>
  </si>
  <si>
    <t>P_1</t>
  </si>
  <si>
    <t>04</t>
  </si>
  <si>
    <t>P_2</t>
  </si>
  <si>
    <t>Section 2</t>
  </si>
  <si>
    <t>Question 5</t>
  </si>
  <si>
    <t>V_S</t>
  </si>
  <si>
    <t>R</t>
  </si>
  <si>
    <t>05</t>
  </si>
  <si>
    <t>v_x</t>
  </si>
  <si>
    <t>Question 6 to 7</t>
  </si>
  <si>
    <t>beta</t>
  </si>
  <si>
    <t>V_a</t>
  </si>
  <si>
    <t>06</t>
  </si>
  <si>
    <t>07</t>
  </si>
  <si>
    <t>i_x</t>
  </si>
  <si>
    <t>Question 8</t>
  </si>
  <si>
    <t>08</t>
  </si>
  <si>
    <t>V_ab</t>
  </si>
  <si>
    <t>Question 9</t>
  </si>
  <si>
    <t>09</t>
  </si>
  <si>
    <t>Question 10 to 11</t>
  </si>
  <si>
    <t>10</t>
  </si>
  <si>
    <t>R_ab</t>
  </si>
  <si>
    <t>11</t>
  </si>
  <si>
    <t>R_cb</t>
  </si>
  <si>
    <t>Section 3</t>
  </si>
  <si>
    <t>Question 12</t>
  </si>
  <si>
    <t>12</t>
  </si>
  <si>
    <t>i_y</t>
  </si>
  <si>
    <t>Question 13</t>
  </si>
  <si>
    <t>13</t>
  </si>
  <si>
    <t>i_z</t>
  </si>
  <si>
    <t>Question 14 to 17</t>
  </si>
  <si>
    <t>R_1</t>
  </si>
  <si>
    <t>R_2</t>
  </si>
  <si>
    <t>14</t>
  </si>
  <si>
    <t>15</t>
  </si>
  <si>
    <t>16</t>
  </si>
  <si>
    <t>c</t>
  </si>
  <si>
    <t>17</t>
  </si>
  <si>
    <t>d</t>
  </si>
  <si>
    <t>Question 18 to 21</t>
  </si>
  <si>
    <t>18</t>
  </si>
  <si>
    <t>e</t>
  </si>
  <si>
    <t>19</t>
  </si>
  <si>
    <t>f</t>
  </si>
  <si>
    <t>20</t>
  </si>
  <si>
    <t>g</t>
  </si>
  <si>
    <t>21</t>
  </si>
  <si>
    <t>h</t>
  </si>
  <si>
    <t>Question 22 to 23</t>
  </si>
  <si>
    <t>v_2</t>
  </si>
  <si>
    <t>i_1</t>
  </si>
  <si>
    <t>22</t>
  </si>
  <si>
    <t>theta</t>
  </si>
  <si>
    <t>23</t>
  </si>
  <si>
    <t>sigma</t>
  </si>
  <si>
    <t>Question 24 to 27</t>
  </si>
  <si>
    <t>G_1</t>
  </si>
  <si>
    <t>S</t>
  </si>
  <si>
    <t>G_2</t>
  </si>
  <si>
    <t>G_3</t>
  </si>
  <si>
    <t>24</t>
  </si>
  <si>
    <t>v</t>
  </si>
  <si>
    <t>25</t>
  </si>
  <si>
    <t>w</t>
  </si>
  <si>
    <t>26</t>
  </si>
  <si>
    <t>27</t>
  </si>
  <si>
    <t>Question 28 to 29</t>
  </si>
  <si>
    <t>i_B</t>
  </si>
  <si>
    <t>28</t>
  </si>
  <si>
    <t>V_1</t>
  </si>
  <si>
    <t>29</t>
  </si>
  <si>
    <t>V_CE</t>
  </si>
  <si>
    <t>24.84</t>
  </si>
  <si>
    <t>0.027</t>
  </si>
  <si>
    <t>7.69231</t>
  </si>
  <si>
    <t>3.125</t>
  </si>
  <si>
    <t>0.21</t>
  </si>
  <si>
    <t>2.2368</t>
  </si>
  <si>
    <t>-16.5714</t>
  </si>
  <si>
    <t>0.032</t>
  </si>
  <si>
    <t>1.2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</si>
</sst>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R&quot;#,##0;[Red]\-&quot;R&quot;#,##0"/>
    <numFmt numFmtId="164" formatCode="\R#,##0;[Red]&quot;-R&quot;#,##0"/>
    <numFmt numFmtId="165" formatCode="dddd&quot;, &quot;mmmm\ dd&quot;, &quot;yyyy"/>
  </numFmts>
  <fonts count="22" x14ac:knownFonts="1">
    <font>
      <sz val="12"/>
      <color rgb="FF000000"/>
      <name val="Calibri"/>
      <family val="2"/>
      <charset val="1"/>
    </font>
    <font>
      <sz val="12"/>
      <color rgb="FFBFBFBF"/>
      <name val="Calibri"/>
      <family val="2"/>
      <charset val="1"/>
    </font>
    <font>
      <b/>
      <sz val="14"/>
      <color rgb="FF000000"/>
      <name val="Times New Roman"/>
      <family val="1"/>
      <charset val="1"/>
    </font>
    <font>
      <b/>
      <sz val="11"/>
      <color rgb="FF000000"/>
      <name val="Times New Roman"/>
      <family val="1"/>
      <charset val="1"/>
    </font>
    <font>
      <b/>
      <sz val="11"/>
      <name val="Times New Roman"/>
      <family val="1"/>
      <charset val="1"/>
    </font>
    <font>
      <sz val="11"/>
      <color rgb="FFBFBFBF"/>
      <name val="Calibri"/>
      <family val="2"/>
      <charset val="1"/>
    </font>
    <font>
      <sz val="11"/>
      <color rgb="FF000000"/>
      <name val="Calibri"/>
      <family val="2"/>
      <charset val="1"/>
    </font>
    <font>
      <b/>
      <sz val="11"/>
      <color rgb="FFBFBFBF"/>
      <name val="Times New Roman"/>
      <family val="1"/>
      <charset val="1"/>
    </font>
    <font>
      <b/>
      <sz val="12"/>
      <color rgb="FFBFBFBF"/>
      <name val="Times New Roman"/>
      <family val="1"/>
      <charset val="1"/>
    </font>
    <font>
      <sz val="11"/>
      <color rgb="FF000000"/>
      <name val="Times New Roman"/>
      <family val="1"/>
      <charset val="1"/>
    </font>
    <font>
      <b/>
      <sz val="11"/>
      <color rgb="FF000000"/>
      <name val="Calibri"/>
      <family val="2"/>
      <charset val="1"/>
    </font>
    <font>
      <b/>
      <sz val="12"/>
      <color rgb="FF000000"/>
      <name val="Times New Roman"/>
      <family val="1"/>
      <charset val="1"/>
    </font>
    <font>
      <b/>
      <sz val="16"/>
      <color rgb="FF000000"/>
      <name val="Times New Roman"/>
      <family val="1"/>
      <charset val="1"/>
    </font>
    <font>
      <sz val="11"/>
      <color rgb="FFBFBFBF"/>
      <name val="Times New Roman"/>
      <family val="1"/>
      <charset val="1"/>
    </font>
    <font>
      <sz val="12"/>
      <color rgb="FFBFBFBF"/>
      <name val="Times New Roman"/>
      <family val="1"/>
      <charset val="1"/>
    </font>
    <font>
      <sz val="11"/>
      <name val="Times New Roman"/>
      <family val="1"/>
      <charset val="1"/>
    </font>
    <font>
      <sz val="11"/>
      <color rgb="FFFF0000"/>
      <name val="Times New Roman"/>
      <family val="1"/>
      <charset val="1"/>
    </font>
    <font>
      <sz val="10"/>
      <name val="Times New Roman"/>
      <family val="1"/>
      <charset val="1"/>
    </font>
    <font>
      <i/>
      <sz val="11"/>
      <color rgb="FF000000"/>
      <name val="Times New Roman"/>
      <family val="1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8"/>
      <color rgb="FF000000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A9D18E"/>
        <bgColor rgb="FFBFBFBF"/>
      </patternFill>
    </fill>
    <fill>
      <patternFill patternType="solid">
        <fgColor rgb="FFFFF2CC"/>
        <bgColor rgb="FFE2F0D9"/>
      </patternFill>
    </fill>
    <fill>
      <patternFill patternType="solid">
        <fgColor rgb="FFE2F0D9"/>
        <bgColor rgb="FFFFF2CC"/>
      </patternFill>
    </fill>
    <fill>
      <patternFill patternType="solid">
        <fgColor rgb="FF404040"/>
        <bgColor rgb="FF333300"/>
      </patternFill>
    </fill>
  </fills>
  <borders count="3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auto="1"/>
      </right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119">
    <xf numFmtId="0" fontId="0" fillId="0" borderId="0" xfId="0"/>
    <xf numFmtId="0" fontId="3" fillId="2" borderId="1" xfId="0" applyFont="1" applyFill="1" applyBorder="1" applyAlignment="1">
      <alignment vertical="center"/>
    </xf>
    <xf numFmtId="0" fontId="4" fillId="0" borderId="0" xfId="0" applyFont="1" applyAlignment="1">
      <alignment horizontal="center"/>
    </xf>
    <xf numFmtId="0" fontId="5" fillId="0" borderId="0" xfId="0" applyFont="1"/>
    <xf numFmtId="0" fontId="1" fillId="0" borderId="0" xfId="0" applyFont="1" applyAlignment="1">
      <alignment horizontal="center"/>
    </xf>
    <xf numFmtId="0" fontId="6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9" fillId="0" borderId="0" xfId="0" applyFont="1" applyAlignment="1">
      <alignment vertical="top"/>
    </xf>
    <xf numFmtId="0" fontId="6" fillId="0" borderId="0" xfId="0" applyFont="1" applyAlignment="1">
      <alignment horizontal="center" vertical="center"/>
    </xf>
    <xf numFmtId="0" fontId="9" fillId="4" borderId="1" xfId="0" applyFont="1" applyFill="1" applyBorder="1" applyAlignment="1">
      <alignment horizontal="left" vertical="top"/>
    </xf>
    <xf numFmtId="0" fontId="9" fillId="3" borderId="1" xfId="0" applyFont="1" applyFill="1" applyBorder="1" applyAlignment="1">
      <alignment horizontal="left" vertical="top"/>
    </xf>
    <xf numFmtId="0" fontId="9" fillId="7" borderId="1" xfId="0" applyFont="1" applyFill="1" applyBorder="1"/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right" vertical="top"/>
    </xf>
    <xf numFmtId="0" fontId="0" fillId="5" borderId="1" xfId="0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left"/>
    </xf>
    <xf numFmtId="0" fontId="9" fillId="0" borderId="0" xfId="0" applyFont="1"/>
    <xf numFmtId="0" fontId="12" fillId="0" borderId="19" xfId="0" applyFont="1" applyBorder="1" applyAlignment="1">
      <alignment horizontal="center"/>
    </xf>
    <xf numFmtId="0" fontId="14" fillId="0" borderId="0" xfId="0" applyFont="1" applyAlignment="1">
      <alignment horizontal="center"/>
    </xf>
    <xf numFmtId="0" fontId="12" fillId="0" borderId="2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" fillId="0" borderId="0" xfId="0" applyFont="1"/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wrapText="1"/>
    </xf>
    <xf numFmtId="0" fontId="15" fillId="6" borderId="6" xfId="0" applyFont="1" applyFill="1" applyBorder="1" applyAlignment="1">
      <alignment horizontal="center" vertical="center" wrapText="1"/>
    </xf>
    <xf numFmtId="0" fontId="9" fillId="6" borderId="6" xfId="0" applyFont="1" applyFill="1" applyBorder="1" applyAlignment="1">
      <alignment horizontal="center" wrapText="1"/>
    </xf>
    <xf numFmtId="0" fontId="9" fillId="6" borderId="7" xfId="0" applyFont="1" applyFill="1" applyBorder="1" applyAlignment="1">
      <alignment horizontal="center"/>
    </xf>
    <xf numFmtId="49" fontId="19" fillId="0" borderId="16" xfId="0" quotePrefix="1" applyNumberFormat="1" applyFont="1" applyBorder="1" applyAlignment="1">
      <alignment horizontal="center"/>
    </xf>
    <xf numFmtId="0" fontId="9" fillId="0" borderId="17" xfId="0" applyFont="1" applyBorder="1" applyAlignment="1">
      <alignment horizontal="center"/>
    </xf>
    <xf numFmtId="0" fontId="9" fillId="0" borderId="18" xfId="0" applyFont="1" applyBorder="1" applyAlignment="1">
      <alignment horizontal="center"/>
    </xf>
    <xf numFmtId="11" fontId="4" fillId="0" borderId="15" xfId="0" applyNumberFormat="1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/>
    </xf>
    <xf numFmtId="0" fontId="0" fillId="0" borderId="0" xfId="0"/>
    <xf numFmtId="0" fontId="9" fillId="7" borderId="0" xfId="0" applyFont="1" applyFill="1" applyAlignment="1">
      <alignment horizontal="left"/>
    </xf>
    <xf numFmtId="0" fontId="9" fillId="7" borderId="0" xfId="0" applyFont="1" applyFill="1"/>
    <xf numFmtId="0" fontId="9" fillId="7" borderId="0" xfId="0" applyFont="1" applyFill="1" applyAlignment="1">
      <alignment horizontal="center"/>
    </xf>
    <xf numFmtId="0" fontId="17" fillId="0" borderId="20" xfId="0" applyFont="1" applyBorder="1" applyAlignment="1">
      <alignment horizontal="center"/>
    </xf>
    <xf numFmtId="164" fontId="9" fillId="4" borderId="1" xfId="0" applyNumberFormat="1" applyFont="1" applyFill="1" applyBorder="1" applyAlignment="1">
      <alignment horizontal="center" wrapText="1"/>
    </xf>
    <xf numFmtId="0" fontId="15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wrapText="1"/>
    </xf>
    <xf numFmtId="0" fontId="9" fillId="4" borderId="10" xfId="0" applyFont="1" applyFill="1" applyBorder="1" applyAlignment="1">
      <alignment horizontal="center"/>
    </xf>
    <xf numFmtId="0" fontId="17" fillId="0" borderId="20" xfId="0" applyFont="1" applyBorder="1" applyAlignment="1">
      <alignment horizontal="center" vertical="center"/>
    </xf>
    <xf numFmtId="0" fontId="17" fillId="0" borderId="21" xfId="0" applyFont="1" applyBorder="1" applyAlignment="1">
      <alignment horizontal="center"/>
    </xf>
    <xf numFmtId="0" fontId="19" fillId="0" borderId="16" xfId="0" quotePrefix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13" fillId="0" borderId="0" xfId="0" applyFont="1"/>
    <xf numFmtId="0" fontId="9" fillId="0" borderId="0" xfId="0" applyFont="1" applyAlignment="1">
      <alignment wrapText="1"/>
    </xf>
    <xf numFmtId="0" fontId="19" fillId="0" borderId="9" xfId="0" quotePrefix="1" applyFont="1" applyBorder="1" applyAlignment="1">
      <alignment horizontal="center"/>
    </xf>
    <xf numFmtId="0" fontId="19" fillId="0" borderId="12" xfId="0" quotePrefix="1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14" xfId="0" applyFont="1" applyBorder="1" applyAlignment="1">
      <alignment horizontal="center"/>
    </xf>
    <xf numFmtId="0" fontId="16" fillId="0" borderId="0" xfId="0" applyFont="1"/>
    <xf numFmtId="0" fontId="9" fillId="0" borderId="0" xfId="0" applyFont="1" applyAlignment="1">
      <alignment vertical="center"/>
    </xf>
    <xf numFmtId="0" fontId="9" fillId="0" borderId="1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4" borderId="13" xfId="0" applyFont="1" applyFill="1" applyBorder="1" applyAlignment="1">
      <alignment horizontal="center" wrapText="1"/>
    </xf>
    <xf numFmtId="0" fontId="19" fillId="0" borderId="23" xfId="0" quotePrefix="1" applyFont="1" applyBorder="1" applyAlignment="1">
      <alignment horizontal="center"/>
    </xf>
    <xf numFmtId="0" fontId="9" fillId="0" borderId="10" xfId="0" applyFont="1" applyBorder="1" applyAlignment="1">
      <alignment horizontal="center"/>
    </xf>
    <xf numFmtId="0" fontId="17" fillId="0" borderId="19" xfId="0" applyFont="1" applyBorder="1" applyAlignment="1">
      <alignment horizontal="center"/>
    </xf>
    <xf numFmtId="0" fontId="15" fillId="3" borderId="17" xfId="0" applyFont="1" applyFill="1" applyBorder="1" applyAlignment="1" applyProtection="1">
      <alignment horizontal="center" vertical="center" wrapText="1"/>
      <protection locked="0"/>
    </xf>
    <xf numFmtId="0" fontId="15" fillId="3" borderId="6" xfId="0" applyFont="1" applyFill="1" applyBorder="1" applyAlignment="1" applyProtection="1">
      <alignment horizontal="center" vertical="center" wrapText="1"/>
      <protection locked="0"/>
    </xf>
    <xf numFmtId="0" fontId="15" fillId="3" borderId="13" xfId="0" applyFont="1" applyFill="1" applyBorder="1" applyAlignment="1" applyProtection="1">
      <alignment horizontal="center" vertical="center" wrapText="1"/>
      <protection locked="0"/>
    </xf>
    <xf numFmtId="0" fontId="15" fillId="3" borderId="1" xfId="0" applyFont="1" applyFill="1" applyBorder="1" applyAlignment="1" applyProtection="1">
      <alignment horizontal="center" vertical="center" wrapText="1"/>
      <protection locked="0"/>
    </xf>
    <xf numFmtId="0" fontId="9" fillId="6" borderId="24" xfId="0" applyFont="1" applyFill="1" applyBorder="1" applyAlignment="1">
      <alignment horizontal="center" wrapText="1"/>
    </xf>
    <xf numFmtId="0" fontId="19" fillId="0" borderId="15" xfId="0" quotePrefix="1" applyFont="1" applyBorder="1" applyAlignment="1">
      <alignment horizontal="center"/>
    </xf>
    <xf numFmtId="0" fontId="9" fillId="0" borderId="25" xfId="0" applyFont="1" applyBorder="1" applyAlignment="1">
      <alignment horizontal="center"/>
    </xf>
    <xf numFmtId="0" fontId="15" fillId="3" borderId="25" xfId="0" applyFont="1" applyFill="1" applyBorder="1" applyAlignment="1" applyProtection="1">
      <alignment horizontal="center" vertical="center" wrapText="1"/>
      <protection locked="0"/>
    </xf>
    <xf numFmtId="0" fontId="9" fillId="0" borderId="26" xfId="0" applyFont="1" applyBorder="1" applyAlignment="1">
      <alignment horizontal="center"/>
    </xf>
    <xf numFmtId="0" fontId="20" fillId="6" borderId="6" xfId="0" applyFont="1" applyFill="1" applyBorder="1" applyAlignment="1">
      <alignment horizontal="center" wrapText="1"/>
    </xf>
    <xf numFmtId="0" fontId="15" fillId="6" borderId="27" xfId="0" applyFont="1" applyFill="1" applyBorder="1" applyAlignment="1">
      <alignment horizontal="center" vertical="center" wrapText="1"/>
    </xf>
    <xf numFmtId="0" fontId="9" fillId="6" borderId="27" xfId="0" applyFont="1" applyFill="1" applyBorder="1" applyAlignment="1">
      <alignment horizontal="center" wrapText="1"/>
    </xf>
    <xf numFmtId="0" fontId="9" fillId="6" borderId="28" xfId="0" applyFont="1" applyFill="1" applyBorder="1" applyAlignment="1">
      <alignment horizontal="center"/>
    </xf>
    <xf numFmtId="0" fontId="9" fillId="7" borderId="6" xfId="0" applyFont="1" applyFill="1" applyBorder="1"/>
    <xf numFmtId="0" fontId="9" fillId="7" borderId="17" xfId="0" applyFont="1" applyFill="1" applyBorder="1"/>
    <xf numFmtId="0" fontId="15" fillId="3" borderId="27" xfId="0" applyFont="1" applyFill="1" applyBorder="1" applyAlignment="1" applyProtection="1">
      <alignment horizontal="center" vertical="center" wrapText="1"/>
      <protection locked="0"/>
    </xf>
    <xf numFmtId="0" fontId="20" fillId="6" borderId="17" xfId="0" applyFont="1" applyFill="1" applyBorder="1" applyAlignment="1">
      <alignment horizontal="center" wrapText="1"/>
    </xf>
    <xf numFmtId="0" fontId="20" fillId="6" borderId="27" xfId="0" applyFont="1" applyFill="1" applyBorder="1" applyAlignment="1">
      <alignment horizontal="center" wrapText="1"/>
    </xf>
    <xf numFmtId="0" fontId="9" fillId="7" borderId="13" xfId="0" applyFont="1" applyFill="1" applyBorder="1"/>
    <xf numFmtId="0" fontId="3" fillId="6" borderId="3" xfId="0" applyFont="1" applyFill="1" applyBorder="1" applyAlignment="1">
      <alignment horizontal="center" vertical="center" wrapText="1"/>
    </xf>
    <xf numFmtId="0" fontId="3" fillId="6" borderId="8" xfId="0" applyFont="1" applyFill="1" applyBorder="1" applyAlignment="1">
      <alignment horizontal="center" vertical="center" wrapText="1"/>
    </xf>
    <xf numFmtId="11" fontId="4" fillId="0" borderId="0" xfId="0" applyNumberFormat="1" applyFont="1" applyAlignment="1">
      <alignment horizontal="center" vertical="center" wrapText="1"/>
    </xf>
    <xf numFmtId="0" fontId="21" fillId="0" borderId="0" xfId="0" applyFont="1" applyAlignment="1">
      <alignment horizontal="center" vertical="center"/>
    </xf>
    <xf numFmtId="6" fontId="9" fillId="6" borderId="6" xfId="0" applyNumberFormat="1" applyFont="1" applyFill="1" applyBorder="1" applyAlignment="1">
      <alignment horizontal="center" wrapText="1"/>
    </xf>
    <xf numFmtId="6" fontId="9" fillId="6" borderId="27" xfId="0" applyNumberFormat="1" applyFont="1" applyFill="1" applyBorder="1" applyAlignment="1">
      <alignment horizontal="center" wrapText="1"/>
    </xf>
    <xf numFmtId="0" fontId="21" fillId="0" borderId="29" xfId="0" applyFont="1" applyBorder="1" applyAlignment="1">
      <alignment horizontal="center" vertical="center"/>
    </xf>
    <xf numFmtId="0" fontId="0" fillId="0" borderId="22" xfId="0" applyBorder="1"/>
    <xf numFmtId="0" fontId="0" fillId="0" borderId="30" xfId="0" applyBorder="1"/>
    <xf numFmtId="0" fontId="3" fillId="6" borderId="31" xfId="0" applyFont="1" applyFill="1" applyBorder="1" applyAlignment="1">
      <alignment horizontal="center" vertical="center" wrapText="1"/>
    </xf>
    <xf numFmtId="0" fontId="0" fillId="0" borderId="8" xfId="0" applyBorder="1"/>
    <xf numFmtId="0" fontId="0" fillId="0" borderId="15" xfId="0" applyBorder="1"/>
    <xf numFmtId="0" fontId="4" fillId="3" borderId="1" xfId="0" applyFont="1" applyFill="1" applyBorder="1" applyAlignment="1">
      <alignment horizontal="center"/>
    </xf>
    <xf numFmtId="0" fontId="0" fillId="0" borderId="32" xfId="0" applyBorder="1"/>
    <xf numFmtId="165" fontId="3" fillId="0" borderId="1" xfId="0" applyNumberFormat="1" applyFont="1" applyBorder="1" applyAlignment="1">
      <alignment horizontal="left"/>
    </xf>
    <xf numFmtId="0" fontId="3" fillId="3" borderId="1" xfId="0" applyFont="1" applyFill="1" applyBorder="1" applyAlignment="1" applyProtection="1">
      <alignment horizontal="center" vertical="center"/>
      <protection locked="0"/>
    </xf>
    <xf numFmtId="0" fontId="3" fillId="0" borderId="1" xfId="0" applyFont="1" applyBorder="1" applyAlignment="1">
      <alignment horizontal="center" wrapText="1"/>
    </xf>
    <xf numFmtId="0" fontId="0" fillId="0" borderId="33" xfId="0" applyBorder="1"/>
    <xf numFmtId="0" fontId="2" fillId="0" borderId="1" xfId="0" applyFont="1" applyBorder="1" applyAlignment="1">
      <alignment horizontal="left"/>
    </xf>
    <xf numFmtId="0" fontId="11" fillId="0" borderId="16" xfId="0" applyFont="1" applyBorder="1" applyAlignment="1">
      <alignment horizontal="center"/>
    </xf>
    <xf numFmtId="0" fontId="0" fillId="0" borderId="34" xfId="0" applyBorder="1"/>
    <xf numFmtId="0" fontId="11" fillId="0" borderId="15" xfId="0" applyFont="1" applyBorder="1" applyAlignment="1">
      <alignment horizontal="center"/>
    </xf>
    <xf numFmtId="0" fontId="0" fillId="0" borderId="35" xfId="0" applyBorder="1"/>
    <xf numFmtId="0" fontId="18" fillId="0" borderId="1" xfId="0" applyFont="1" applyBorder="1" applyAlignment="1">
      <alignment horizontal="left" vertical="top"/>
    </xf>
    <xf numFmtId="0" fontId="19" fillId="0" borderId="0" xfId="0" applyFont="1" applyAlignment="1">
      <alignment horizontal="left" vertical="center" wrapText="1"/>
    </xf>
    <xf numFmtId="0" fontId="0" fillId="0" borderId="0" xfId="0"/>
    <xf numFmtId="0" fontId="2" fillId="0" borderId="29" xfId="0" applyFont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 wrapText="1"/>
    </xf>
    <xf numFmtId="0" fontId="15" fillId="3" borderId="13" xfId="0" quotePrefix="1" applyFont="1" applyFill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A9D18E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M171"/>
  <sheetViews>
    <sheetView showGridLines="0" tabSelected="1" zoomScaleNormal="100" workbookViewId="0">
      <selection activeCell="D135" sqref="D135"/>
    </sheetView>
  </sheetViews>
  <sheetFormatPr defaultColWidth="11.08203125" defaultRowHeight="15.5" x14ac:dyDescent="0.35"/>
  <cols>
    <col min="1" max="1" width="2.33203125" style="43" customWidth="1"/>
    <col min="2" max="2" width="9.58203125" style="43" customWidth="1"/>
    <col min="3" max="3" width="38.83203125" style="43" customWidth="1"/>
    <col min="4" max="4" width="25.83203125" style="43" customWidth="1"/>
    <col min="5" max="5" width="17.58203125" style="43" customWidth="1"/>
    <col min="6" max="6" width="13.5" style="43" customWidth="1"/>
    <col min="7" max="7" width="5.08203125" style="43" customWidth="1"/>
    <col min="8" max="8" width="4.75" style="30" customWidth="1"/>
    <col min="9" max="9" width="15.08203125" style="43" customWidth="1"/>
    <col min="10" max="10" width="10.25" style="4" customWidth="1"/>
    <col min="11" max="23" width="4.75" style="43" customWidth="1"/>
    <col min="24" max="24" width="11.08203125" style="43" customWidth="1"/>
    <col min="25" max="16384" width="11.08203125" style="43"/>
  </cols>
  <sheetData>
    <row r="1" spans="2:13" ht="18.75" customHeight="1" x14ac:dyDescent="0.35">
      <c r="B1" s="108" t="s">
        <v>0</v>
      </c>
      <c r="C1" s="103"/>
      <c r="D1" s="1" t="s">
        <v>1</v>
      </c>
      <c r="E1" s="102" t="s">
        <v>2</v>
      </c>
      <c r="F1" s="103"/>
      <c r="G1" s="2"/>
      <c r="H1" s="3"/>
      <c r="K1" s="5"/>
      <c r="L1" s="5"/>
      <c r="M1" s="5"/>
    </row>
    <row r="2" spans="2:13" x14ac:dyDescent="0.35">
      <c r="B2" s="104" t="s">
        <v>3</v>
      </c>
      <c r="C2" s="103"/>
      <c r="D2" s="1" t="s">
        <v>4</v>
      </c>
      <c r="E2" s="105"/>
      <c r="F2" s="103"/>
      <c r="G2" s="6"/>
      <c r="H2" s="3"/>
      <c r="K2" s="5"/>
      <c r="L2" s="5"/>
      <c r="M2" s="5"/>
    </row>
    <row r="3" spans="2:13" x14ac:dyDescent="0.35">
      <c r="B3" s="7"/>
      <c r="C3" s="7"/>
      <c r="D3" s="7"/>
      <c r="E3" s="7"/>
      <c r="F3" s="7"/>
      <c r="G3" s="7"/>
      <c r="H3" s="8"/>
      <c r="J3" s="9"/>
      <c r="K3" s="7"/>
      <c r="L3" s="7"/>
      <c r="M3" s="7"/>
    </row>
    <row r="4" spans="2:13" ht="34" customHeight="1" x14ac:dyDescent="0.35">
      <c r="B4" s="106" t="s">
        <v>5</v>
      </c>
      <c r="C4" s="107"/>
      <c r="D4" s="107"/>
      <c r="E4" s="107"/>
      <c r="F4" s="103"/>
      <c r="G4" s="10"/>
      <c r="H4" s="8"/>
      <c r="J4" s="9"/>
      <c r="K4" s="7"/>
      <c r="L4" s="7"/>
      <c r="M4" s="7"/>
    </row>
    <row r="5" spans="2:13" x14ac:dyDescent="0.35">
      <c r="B5" s="11"/>
      <c r="C5" s="5"/>
      <c r="D5" s="12"/>
      <c r="E5" s="12"/>
      <c r="F5" s="5"/>
      <c r="G5" s="5"/>
      <c r="H5" s="3"/>
      <c r="K5" s="5"/>
      <c r="L5" s="5"/>
      <c r="M5" s="5"/>
    </row>
    <row r="6" spans="2:13" x14ac:dyDescent="0.35">
      <c r="B6" s="13"/>
      <c r="C6" s="113" t="s">
        <v>6</v>
      </c>
      <c r="D6" s="103"/>
      <c r="E6" s="12"/>
      <c r="F6" s="5"/>
      <c r="G6" s="5"/>
      <c r="H6" s="3"/>
      <c r="K6" s="5"/>
      <c r="L6" s="5"/>
      <c r="M6" s="5"/>
    </row>
    <row r="7" spans="2:13" x14ac:dyDescent="0.35">
      <c r="B7" s="14"/>
      <c r="C7" s="113" t="s">
        <v>7</v>
      </c>
      <c r="D7" s="103"/>
      <c r="E7" s="12"/>
      <c r="F7" s="5"/>
      <c r="G7" s="5"/>
      <c r="H7" s="3"/>
      <c r="L7" s="5"/>
      <c r="M7" s="5"/>
    </row>
    <row r="8" spans="2:13" x14ac:dyDescent="0.35">
      <c r="B8" s="15"/>
      <c r="C8" s="113" t="s">
        <v>8</v>
      </c>
      <c r="D8" s="103"/>
      <c r="E8" s="12"/>
      <c r="F8" s="5"/>
      <c r="G8" s="5"/>
      <c r="H8" s="3"/>
      <c r="L8" s="5"/>
      <c r="M8" s="5"/>
    </row>
    <row r="9" spans="2:13" x14ac:dyDescent="0.35">
      <c r="B9" s="16"/>
      <c r="C9" s="5"/>
      <c r="D9" s="12"/>
      <c r="E9" s="12"/>
      <c r="F9" s="5"/>
      <c r="G9" s="5"/>
      <c r="H9" s="3"/>
      <c r="L9" s="5"/>
      <c r="M9" s="5"/>
    </row>
    <row r="10" spans="2:13" ht="27" customHeight="1" x14ac:dyDescent="0.35">
      <c r="B10" s="114" t="s">
        <v>9</v>
      </c>
      <c r="C10" s="115"/>
      <c r="D10" s="115"/>
      <c r="E10" s="115"/>
      <c r="F10" s="115"/>
      <c r="G10" s="5"/>
      <c r="H10" s="3"/>
      <c r="L10" s="5"/>
      <c r="M10" s="5"/>
    </row>
    <row r="11" spans="2:13" x14ac:dyDescent="0.35">
      <c r="B11" s="5"/>
      <c r="C11" s="17" t="s">
        <v>10</v>
      </c>
      <c r="D11" s="18" t="s">
        <v>11</v>
      </c>
      <c r="E11" s="19" t="s">
        <v>12</v>
      </c>
      <c r="F11" s="5"/>
      <c r="G11" s="5"/>
      <c r="H11" s="3"/>
      <c r="L11" s="5"/>
      <c r="M11" s="5"/>
    </row>
    <row r="12" spans="2:13" x14ac:dyDescent="0.35">
      <c r="B12" s="16"/>
      <c r="C12" s="20" t="s">
        <v>13</v>
      </c>
      <c r="D12" s="18" t="s">
        <v>14</v>
      </c>
      <c r="E12" s="19" t="s">
        <v>15</v>
      </c>
      <c r="F12" s="5"/>
      <c r="G12" s="5"/>
      <c r="H12" s="3"/>
      <c r="L12" s="5"/>
      <c r="M12" s="5"/>
    </row>
    <row r="13" spans="2:13" ht="16.5" customHeight="1" thickBot="1" x14ac:dyDescent="0.4">
      <c r="B13" s="16"/>
      <c r="C13" s="21"/>
      <c r="D13" s="22"/>
      <c r="E13" s="12"/>
      <c r="F13" s="5"/>
      <c r="G13" s="5"/>
      <c r="H13" s="3"/>
      <c r="L13" s="5"/>
      <c r="M13" s="5"/>
    </row>
    <row r="14" spans="2:13" ht="21" customHeight="1" thickBot="1" x14ac:dyDescent="0.45">
      <c r="B14" s="23"/>
      <c r="C14" s="24"/>
      <c r="D14" s="109" t="s">
        <v>16</v>
      </c>
      <c r="E14" s="110"/>
      <c r="F14" s="25">
        <v>46</v>
      </c>
      <c r="G14" s="24"/>
      <c r="H14" s="56"/>
      <c r="J14" s="26"/>
      <c r="L14" s="24"/>
      <c r="M14" s="24"/>
    </row>
    <row r="15" spans="2:13" ht="21" customHeight="1" thickBot="1" x14ac:dyDescent="0.45">
      <c r="B15" s="23"/>
      <c r="C15" s="24"/>
      <c r="D15" s="111" t="s">
        <v>17</v>
      </c>
      <c r="E15" s="112"/>
      <c r="F15" s="27">
        <v>45</v>
      </c>
      <c r="G15" s="24"/>
      <c r="H15" s="56"/>
      <c r="J15" s="26"/>
    </row>
    <row r="16" spans="2:13" ht="21" customHeight="1" thickBot="1" x14ac:dyDescent="0.45">
      <c r="B16" s="23"/>
      <c r="C16" s="24"/>
      <c r="D16" s="28"/>
      <c r="E16" s="28"/>
      <c r="F16" s="29"/>
      <c r="G16" s="24"/>
      <c r="H16" s="56"/>
      <c r="J16" s="26"/>
    </row>
    <row r="17" spans="2:10" ht="22" customHeight="1" thickBot="1" x14ac:dyDescent="0.4">
      <c r="B17" s="96" t="s">
        <v>18</v>
      </c>
      <c r="C17" s="97"/>
      <c r="D17" s="97"/>
      <c r="E17" s="97"/>
      <c r="F17" s="98"/>
      <c r="G17" s="24"/>
      <c r="H17" s="56"/>
      <c r="J17" s="26"/>
    </row>
    <row r="18" spans="2:10" ht="15.75" customHeight="1" thickBot="1" x14ac:dyDescent="0.4">
      <c r="B18" s="93"/>
      <c r="C18" s="93"/>
      <c r="D18" s="93"/>
      <c r="E18" s="93"/>
      <c r="F18" s="93"/>
      <c r="G18" s="24"/>
      <c r="H18" s="56"/>
      <c r="J18" s="26"/>
    </row>
    <row r="19" spans="2:10" ht="19.5" customHeight="1" thickBot="1" x14ac:dyDescent="0.4">
      <c r="B19" s="116" t="s">
        <v>19</v>
      </c>
      <c r="C19" s="97"/>
      <c r="D19" s="97"/>
      <c r="E19" s="97"/>
      <c r="F19" s="98"/>
    </row>
    <row r="20" spans="2:10" ht="30" customHeight="1" thickBot="1" x14ac:dyDescent="0.4">
      <c r="B20" s="31"/>
      <c r="C20" s="32" t="s">
        <v>20</v>
      </c>
      <c r="D20" s="32" t="s">
        <v>21</v>
      </c>
      <c r="E20" s="32" t="s">
        <v>22</v>
      </c>
      <c r="F20" s="33" t="s">
        <v>23</v>
      </c>
      <c r="I20" s="34" t="s">
        <v>24</v>
      </c>
    </row>
    <row r="21" spans="2:10" x14ac:dyDescent="0.35">
      <c r="B21" s="99"/>
      <c r="C21" s="94" t="s">
        <v>25</v>
      </c>
      <c r="D21" s="35">
        <v>100</v>
      </c>
      <c r="E21" s="36" t="s">
        <v>26</v>
      </c>
      <c r="F21" s="37"/>
      <c r="I21" s="70" t="s">
        <v>27</v>
      </c>
    </row>
    <row r="22" spans="2:10" x14ac:dyDescent="0.35">
      <c r="B22" s="100"/>
      <c r="C22" s="48" t="s">
        <v>28</v>
      </c>
      <c r="D22" s="49">
        <v>8</v>
      </c>
      <c r="E22" s="50" t="s">
        <v>26</v>
      </c>
      <c r="F22" s="51"/>
      <c r="I22" s="47" t="s">
        <v>29</v>
      </c>
    </row>
    <row r="23" spans="2:10" ht="16.5" customHeight="1" thickBot="1" x14ac:dyDescent="0.4">
      <c r="B23" s="101"/>
      <c r="C23" s="95" t="s">
        <v>30</v>
      </c>
      <c r="D23" s="81">
        <v>4.5</v>
      </c>
      <c r="E23" s="75" t="s">
        <v>31</v>
      </c>
      <c r="F23" s="83"/>
      <c r="I23" s="47" t="s">
        <v>32</v>
      </c>
    </row>
    <row r="24" spans="2:10" ht="16.5" customHeight="1" thickBot="1" x14ac:dyDescent="0.4">
      <c r="B24" s="38" t="s">
        <v>33</v>
      </c>
      <c r="C24" s="39" t="s">
        <v>34</v>
      </c>
      <c r="D24" s="71" t="s">
        <v>132</v>
      </c>
      <c r="E24" s="85"/>
      <c r="F24" s="40">
        <v>2</v>
      </c>
      <c r="I24" s="47" t="s">
        <v>35</v>
      </c>
    </row>
    <row r="25" spans="2:10" ht="16.5" customHeight="1" thickBot="1" x14ac:dyDescent="0.4">
      <c r="E25" s="41" t="s">
        <v>36</v>
      </c>
      <c r="F25" s="42">
        <f>SUM(F24)</f>
        <v>2</v>
      </c>
      <c r="I25" s="47" t="s">
        <v>15</v>
      </c>
    </row>
    <row r="26" spans="2:10" ht="15.75" customHeight="1" x14ac:dyDescent="0.35">
      <c r="I26" s="52" t="s">
        <v>37</v>
      </c>
    </row>
    <row r="27" spans="2:10" x14ac:dyDescent="0.35">
      <c r="B27" s="44"/>
      <c r="C27" s="45"/>
      <c r="D27" s="45"/>
      <c r="E27" s="45"/>
      <c r="F27" s="46"/>
      <c r="I27" s="47" t="s">
        <v>38</v>
      </c>
    </row>
    <row r="28" spans="2:10" ht="16.5" customHeight="1" thickBot="1" x14ac:dyDescent="0.4">
      <c r="I28" s="47" t="s">
        <v>39</v>
      </c>
    </row>
    <row r="29" spans="2:10" ht="19.5" customHeight="1" thickBot="1" x14ac:dyDescent="0.4">
      <c r="B29" s="116" t="s">
        <v>40</v>
      </c>
      <c r="C29" s="97"/>
      <c r="D29" s="97"/>
      <c r="E29" s="97"/>
      <c r="F29" s="98"/>
      <c r="I29" s="47" t="s">
        <v>12</v>
      </c>
    </row>
    <row r="30" spans="2:10" ht="29.25" customHeight="1" thickBot="1" x14ac:dyDescent="0.4">
      <c r="B30" s="31"/>
      <c r="C30" s="32" t="s">
        <v>20</v>
      </c>
      <c r="D30" s="32" t="s">
        <v>21</v>
      </c>
      <c r="E30" s="32" t="s">
        <v>22</v>
      </c>
      <c r="F30" s="33" t="s">
        <v>23</v>
      </c>
      <c r="I30" s="47" t="s">
        <v>41</v>
      </c>
    </row>
    <row r="31" spans="2:10" x14ac:dyDescent="0.35">
      <c r="B31" s="99"/>
      <c r="C31" s="94" t="s">
        <v>42</v>
      </c>
      <c r="D31" s="35">
        <v>2</v>
      </c>
      <c r="E31" s="36" t="s">
        <v>43</v>
      </c>
      <c r="F31" s="37"/>
      <c r="I31" s="47" t="s">
        <v>43</v>
      </c>
    </row>
    <row r="32" spans="2:10" ht="16.5" customHeight="1" thickBot="1" x14ac:dyDescent="0.4">
      <c r="B32" s="101"/>
      <c r="C32" s="48" t="s">
        <v>44</v>
      </c>
      <c r="D32" s="49">
        <v>5</v>
      </c>
      <c r="E32" s="50" t="s">
        <v>43</v>
      </c>
      <c r="F32" s="51"/>
      <c r="I32" s="47" t="s">
        <v>45</v>
      </c>
    </row>
    <row r="33" spans="2:13" ht="16.5" customHeight="1" thickBot="1" x14ac:dyDescent="0.4">
      <c r="B33" s="38" t="s">
        <v>46</v>
      </c>
      <c r="C33" s="39" t="s">
        <v>26</v>
      </c>
      <c r="D33" s="71" t="s">
        <v>133</v>
      </c>
      <c r="E33" s="71" t="s">
        <v>53</v>
      </c>
      <c r="F33" s="40">
        <v>2</v>
      </c>
      <c r="I33" s="47" t="s">
        <v>47</v>
      </c>
    </row>
    <row r="34" spans="2:13" ht="16.5" customHeight="1" thickBot="1" x14ac:dyDescent="0.4">
      <c r="E34" s="41" t="s">
        <v>36</v>
      </c>
      <c r="F34" s="42">
        <f>SUM(F33)</f>
        <v>2</v>
      </c>
      <c r="I34" s="47" t="s">
        <v>48</v>
      </c>
    </row>
    <row r="35" spans="2:13" x14ac:dyDescent="0.35">
      <c r="I35" s="47" t="s">
        <v>49</v>
      </c>
    </row>
    <row r="36" spans="2:13" x14ac:dyDescent="0.35">
      <c r="B36" s="44"/>
      <c r="C36" s="45"/>
      <c r="D36" s="45"/>
      <c r="E36" s="45"/>
      <c r="F36" s="46"/>
      <c r="I36" s="47" t="s">
        <v>26</v>
      </c>
    </row>
    <row r="37" spans="2:13" ht="16.5" customHeight="1" thickBot="1" x14ac:dyDescent="0.4">
      <c r="I37" s="47" t="s">
        <v>50</v>
      </c>
    </row>
    <row r="38" spans="2:13" ht="19.5" customHeight="1" thickBot="1" x14ac:dyDescent="0.4">
      <c r="B38" s="116" t="s">
        <v>51</v>
      </c>
      <c r="C38" s="97"/>
      <c r="D38" s="97"/>
      <c r="E38" s="97"/>
      <c r="F38" s="98"/>
      <c r="I38" s="47" t="s">
        <v>52</v>
      </c>
    </row>
    <row r="39" spans="2:13" ht="29.25" customHeight="1" thickBot="1" x14ac:dyDescent="0.4">
      <c r="B39" s="31"/>
      <c r="C39" s="32" t="s">
        <v>20</v>
      </c>
      <c r="D39" s="32" t="s">
        <v>21</v>
      </c>
      <c r="E39" s="32" t="s">
        <v>22</v>
      </c>
      <c r="F39" s="33" t="s">
        <v>23</v>
      </c>
      <c r="I39" s="47" t="s">
        <v>53</v>
      </c>
    </row>
    <row r="40" spans="2:13" ht="16.5" customHeight="1" thickBot="1" x14ac:dyDescent="0.4">
      <c r="B40" s="99"/>
      <c r="C40" s="94" t="s">
        <v>54</v>
      </c>
      <c r="D40" s="35">
        <v>3</v>
      </c>
      <c r="E40" s="36" t="s">
        <v>29</v>
      </c>
      <c r="F40" s="37"/>
      <c r="I40" s="53" t="s">
        <v>55</v>
      </c>
    </row>
    <row r="41" spans="2:13" ht="16.5" customHeight="1" thickBot="1" x14ac:dyDescent="0.4">
      <c r="B41" s="101"/>
      <c r="C41" s="48" t="s">
        <v>56</v>
      </c>
      <c r="D41" s="49">
        <v>4</v>
      </c>
      <c r="E41" s="50" t="s">
        <v>37</v>
      </c>
      <c r="F41" s="51"/>
    </row>
    <row r="42" spans="2:13" x14ac:dyDescent="0.35">
      <c r="B42" s="58" t="s">
        <v>57</v>
      </c>
      <c r="C42" s="65" t="s">
        <v>58</v>
      </c>
      <c r="D42" s="72">
        <v>12</v>
      </c>
      <c r="E42" s="72" t="s">
        <v>26</v>
      </c>
      <c r="F42" s="66">
        <v>2</v>
      </c>
      <c r="L42" s="24"/>
      <c r="M42" s="24"/>
    </row>
    <row r="43" spans="2:13" ht="16.5" customHeight="1" thickBot="1" x14ac:dyDescent="0.4">
      <c r="B43" s="59" t="s">
        <v>59</v>
      </c>
      <c r="C43" s="60" t="s">
        <v>60</v>
      </c>
      <c r="D43" s="73">
        <v>48</v>
      </c>
      <c r="E43" s="73" t="s">
        <v>26</v>
      </c>
      <c r="F43" s="61">
        <v>2</v>
      </c>
      <c r="L43" s="24"/>
      <c r="M43" s="24"/>
    </row>
    <row r="44" spans="2:13" ht="16.5" customHeight="1" thickBot="1" x14ac:dyDescent="0.4">
      <c r="E44" s="41" t="s">
        <v>36</v>
      </c>
      <c r="F44" s="42">
        <f>SUM(F42,F43)</f>
        <v>4</v>
      </c>
    </row>
    <row r="46" spans="2:13" x14ac:dyDescent="0.35">
      <c r="B46" s="44"/>
      <c r="C46" s="45"/>
      <c r="D46" s="45"/>
      <c r="E46" s="45"/>
      <c r="F46" s="46"/>
    </row>
    <row r="47" spans="2:13" ht="16.5" customHeight="1" thickBot="1" x14ac:dyDescent="0.4"/>
    <row r="48" spans="2:13" ht="22" customHeight="1" thickBot="1" x14ac:dyDescent="0.4">
      <c r="B48" s="96" t="s">
        <v>61</v>
      </c>
      <c r="C48" s="97"/>
      <c r="D48" s="97"/>
      <c r="E48" s="97"/>
      <c r="F48" s="98"/>
      <c r="G48" s="24"/>
      <c r="H48" s="56"/>
      <c r="J48" s="26"/>
    </row>
    <row r="49" spans="2:13" ht="16.5" customHeight="1" thickBot="1" x14ac:dyDescent="0.4"/>
    <row r="50" spans="2:13" ht="19.5" customHeight="1" thickBot="1" x14ac:dyDescent="0.4">
      <c r="B50" s="116" t="s">
        <v>62</v>
      </c>
      <c r="C50" s="97"/>
      <c r="D50" s="97"/>
      <c r="E50" s="97"/>
      <c r="F50" s="98"/>
    </row>
    <row r="51" spans="2:13" ht="29.25" customHeight="1" thickBot="1" x14ac:dyDescent="0.4">
      <c r="B51" s="31"/>
      <c r="C51" s="32" t="s">
        <v>20</v>
      </c>
      <c r="D51" s="32" t="s">
        <v>21</v>
      </c>
      <c r="E51" s="32" t="s">
        <v>22</v>
      </c>
      <c r="F51" s="33" t="s">
        <v>23</v>
      </c>
      <c r="L51" s="24"/>
      <c r="M51" s="24"/>
    </row>
    <row r="52" spans="2:13" x14ac:dyDescent="0.35">
      <c r="B52" s="117"/>
      <c r="C52" s="94" t="s">
        <v>63</v>
      </c>
      <c r="D52" s="35">
        <v>60</v>
      </c>
      <c r="E52" s="36" t="s">
        <v>29</v>
      </c>
      <c r="F52" s="37"/>
      <c r="L52" s="24"/>
      <c r="M52" s="24"/>
    </row>
    <row r="53" spans="2:13" ht="16.5" customHeight="1" thickBot="1" x14ac:dyDescent="0.4">
      <c r="B53" s="100"/>
      <c r="C53" s="48" t="s">
        <v>64</v>
      </c>
      <c r="D53" s="49">
        <v>20</v>
      </c>
      <c r="E53" s="50" t="s">
        <v>39</v>
      </c>
      <c r="F53" s="51"/>
      <c r="L53" s="24"/>
      <c r="M53" s="24"/>
    </row>
    <row r="54" spans="2:13" ht="16.5" customHeight="1" thickBot="1" x14ac:dyDescent="0.4">
      <c r="B54" s="54" t="s">
        <v>65</v>
      </c>
      <c r="C54" s="39" t="s">
        <v>66</v>
      </c>
      <c r="D54" s="71" t="s">
        <v>134</v>
      </c>
      <c r="E54" s="71" t="s">
        <v>29</v>
      </c>
      <c r="F54" s="40">
        <v>2</v>
      </c>
      <c r="G54" s="55"/>
      <c r="H54" s="56"/>
      <c r="J54" s="26"/>
    </row>
    <row r="55" spans="2:13" ht="16.5" customHeight="1" thickBot="1" x14ac:dyDescent="0.4">
      <c r="E55" s="41" t="s">
        <v>36</v>
      </c>
      <c r="F55" s="42">
        <f>SUM(F54:F54)</f>
        <v>2</v>
      </c>
      <c r="L55" s="24"/>
      <c r="M55" s="57"/>
    </row>
    <row r="56" spans="2:13" x14ac:dyDescent="0.35">
      <c r="L56" s="24"/>
      <c r="M56" s="57"/>
    </row>
    <row r="57" spans="2:13" x14ac:dyDescent="0.35">
      <c r="B57" s="44"/>
      <c r="C57" s="45"/>
      <c r="D57" s="45"/>
      <c r="E57" s="45"/>
      <c r="F57" s="46"/>
      <c r="L57" s="24"/>
      <c r="M57" s="24"/>
    </row>
    <row r="58" spans="2:13" ht="16.5" customHeight="1" thickBot="1" x14ac:dyDescent="0.4">
      <c r="L58" s="24"/>
      <c r="M58" s="24"/>
    </row>
    <row r="59" spans="2:13" ht="19.5" customHeight="1" thickBot="1" x14ac:dyDescent="0.4">
      <c r="B59" s="116" t="s">
        <v>67</v>
      </c>
      <c r="C59" s="97"/>
      <c r="D59" s="97"/>
      <c r="E59" s="97"/>
      <c r="F59" s="98"/>
      <c r="L59" s="24"/>
      <c r="M59" s="24"/>
    </row>
    <row r="60" spans="2:13" ht="29.25" customHeight="1" thickBot="1" x14ac:dyDescent="0.4">
      <c r="B60" s="31"/>
      <c r="C60" s="32" t="s">
        <v>20</v>
      </c>
      <c r="D60" s="32" t="s">
        <v>21</v>
      </c>
      <c r="E60" s="32" t="s">
        <v>22</v>
      </c>
      <c r="F60" s="33" t="s">
        <v>23</v>
      </c>
      <c r="L60" s="24"/>
      <c r="M60" s="24"/>
    </row>
    <row r="61" spans="2:13" x14ac:dyDescent="0.35">
      <c r="B61" s="99"/>
      <c r="C61" s="94" t="s">
        <v>68</v>
      </c>
      <c r="D61" s="35">
        <v>3</v>
      </c>
      <c r="E61" s="84"/>
      <c r="F61" s="37"/>
      <c r="L61" s="24"/>
      <c r="M61" s="24"/>
    </row>
    <row r="62" spans="2:13" x14ac:dyDescent="0.35">
      <c r="B62" s="100"/>
      <c r="C62" s="48" t="s">
        <v>69</v>
      </c>
      <c r="D62" s="49">
        <v>3</v>
      </c>
      <c r="E62" s="50" t="s">
        <v>29</v>
      </c>
      <c r="F62" s="51"/>
      <c r="L62" s="24"/>
      <c r="M62" s="24"/>
    </row>
    <row r="63" spans="2:13" ht="16.5" customHeight="1" thickBot="1" x14ac:dyDescent="0.4">
      <c r="B63" s="101"/>
      <c r="C63" s="95" t="s">
        <v>64</v>
      </c>
      <c r="D63" s="81">
        <v>80</v>
      </c>
      <c r="E63" s="82" t="s">
        <v>39</v>
      </c>
      <c r="F63" s="83"/>
      <c r="L63" s="24"/>
      <c r="M63" s="24"/>
    </row>
    <row r="64" spans="2:13" x14ac:dyDescent="0.35">
      <c r="B64" s="58" t="s">
        <v>70</v>
      </c>
      <c r="C64" s="65" t="s">
        <v>63</v>
      </c>
      <c r="D64" s="72">
        <v>12</v>
      </c>
      <c r="E64" s="72" t="s">
        <v>29</v>
      </c>
      <c r="F64" s="66">
        <v>2</v>
      </c>
      <c r="L64" s="24"/>
      <c r="M64" s="24"/>
    </row>
    <row r="65" spans="2:13" ht="16.5" customHeight="1" thickBot="1" x14ac:dyDescent="0.4">
      <c r="B65" s="59" t="s">
        <v>71</v>
      </c>
      <c r="C65" s="60" t="s">
        <v>72</v>
      </c>
      <c r="D65" s="73" t="s">
        <v>140</v>
      </c>
      <c r="E65" s="73" t="s">
        <v>37</v>
      </c>
      <c r="F65" s="61">
        <v>2</v>
      </c>
      <c r="L65" s="24"/>
      <c r="M65" s="24"/>
    </row>
    <row r="66" spans="2:13" ht="16.5" customHeight="1" thickBot="1" x14ac:dyDescent="0.4">
      <c r="E66" s="41" t="s">
        <v>36</v>
      </c>
      <c r="F66" s="42">
        <f>SUM(F64:F65)</f>
        <v>4</v>
      </c>
      <c r="L66" s="24"/>
      <c r="M66" s="24"/>
    </row>
    <row r="67" spans="2:13" x14ac:dyDescent="0.35">
      <c r="L67" s="24"/>
      <c r="M67" s="62"/>
    </row>
    <row r="68" spans="2:13" x14ac:dyDescent="0.35">
      <c r="B68" s="44"/>
      <c r="C68" s="45"/>
      <c r="D68" s="45"/>
      <c r="E68" s="45"/>
      <c r="F68" s="46"/>
      <c r="L68" s="24"/>
      <c r="M68" s="24"/>
    </row>
    <row r="69" spans="2:13" ht="16.5" customHeight="1" thickBot="1" x14ac:dyDescent="0.4">
      <c r="L69" s="63"/>
      <c r="M69" s="24"/>
    </row>
    <row r="70" spans="2:13" ht="19.5" customHeight="1" thickBot="1" x14ac:dyDescent="0.4">
      <c r="B70" s="116" t="s">
        <v>73</v>
      </c>
      <c r="C70" s="97"/>
      <c r="D70" s="97"/>
      <c r="E70" s="97"/>
      <c r="F70" s="98"/>
      <c r="L70" s="24"/>
      <c r="M70" s="24"/>
    </row>
    <row r="71" spans="2:13" ht="29.25" customHeight="1" thickBot="1" x14ac:dyDescent="0.4">
      <c r="B71" s="31"/>
      <c r="C71" s="32" t="s">
        <v>20</v>
      </c>
      <c r="D71" s="32" t="s">
        <v>21</v>
      </c>
      <c r="E71" s="32" t="s">
        <v>22</v>
      </c>
      <c r="F71" s="33" t="s">
        <v>23</v>
      </c>
      <c r="L71" s="24"/>
      <c r="M71" s="24"/>
    </row>
    <row r="72" spans="2:13" x14ac:dyDescent="0.35">
      <c r="B72" s="117"/>
      <c r="C72" s="94" t="s">
        <v>64</v>
      </c>
      <c r="D72" s="35">
        <v>6</v>
      </c>
      <c r="E72" s="80" t="s">
        <v>12</v>
      </c>
      <c r="F72" s="37"/>
      <c r="J72" s="26"/>
      <c r="K72" s="24"/>
    </row>
    <row r="73" spans="2:13" ht="16.5" customHeight="1" thickBot="1" x14ac:dyDescent="0.4">
      <c r="B73" s="100"/>
      <c r="C73" s="48" t="s">
        <v>63</v>
      </c>
      <c r="D73" s="49">
        <v>8</v>
      </c>
      <c r="E73" s="67" t="s">
        <v>29</v>
      </c>
      <c r="F73" s="51"/>
      <c r="J73" s="26"/>
      <c r="K73" s="24"/>
    </row>
    <row r="74" spans="2:13" ht="16.5" customHeight="1" thickBot="1" x14ac:dyDescent="0.4">
      <c r="B74" s="54" t="s">
        <v>74</v>
      </c>
      <c r="C74" s="39" t="s">
        <v>75</v>
      </c>
      <c r="D74" s="71" t="s">
        <v>135</v>
      </c>
      <c r="E74" s="78" t="s">
        <v>29</v>
      </c>
      <c r="F74" s="40">
        <v>2</v>
      </c>
      <c r="L74" s="24"/>
    </row>
    <row r="75" spans="2:13" ht="16.5" customHeight="1" thickBot="1" x14ac:dyDescent="0.4">
      <c r="E75" s="41" t="s">
        <v>36</v>
      </c>
      <c r="F75" s="42">
        <f>SUM(F74:F74)</f>
        <v>2</v>
      </c>
      <c r="M75" s="24"/>
    </row>
    <row r="76" spans="2:13" x14ac:dyDescent="0.35">
      <c r="M76" s="24"/>
    </row>
    <row r="77" spans="2:13" x14ac:dyDescent="0.35">
      <c r="B77" s="44"/>
      <c r="C77" s="45"/>
      <c r="D77" s="45"/>
      <c r="E77" s="45"/>
      <c r="F77" s="46"/>
      <c r="M77" s="24"/>
    </row>
    <row r="78" spans="2:13" ht="16.5" customHeight="1" thickBot="1" x14ac:dyDescent="0.4"/>
    <row r="79" spans="2:13" ht="19.5" customHeight="1" thickBot="1" x14ac:dyDescent="0.4">
      <c r="B79" s="116" t="s">
        <v>76</v>
      </c>
      <c r="C79" s="97"/>
      <c r="D79" s="97"/>
      <c r="E79" s="97"/>
      <c r="F79" s="98"/>
      <c r="L79" s="24"/>
      <c r="M79" s="24"/>
    </row>
    <row r="80" spans="2:13" ht="29.25" customHeight="1" thickBot="1" x14ac:dyDescent="0.4">
      <c r="B80" s="31"/>
      <c r="C80" s="32" t="s">
        <v>20</v>
      </c>
      <c r="D80" s="32" t="s">
        <v>21</v>
      </c>
      <c r="E80" s="32" t="s">
        <v>22</v>
      </c>
      <c r="F80" s="33" t="s">
        <v>23</v>
      </c>
      <c r="L80" s="24"/>
      <c r="M80" s="24"/>
    </row>
    <row r="81" spans="2:13" x14ac:dyDescent="0.35">
      <c r="B81" s="117"/>
      <c r="C81" s="94" t="s">
        <v>42</v>
      </c>
      <c r="D81" s="35">
        <v>5</v>
      </c>
      <c r="E81" s="84"/>
      <c r="F81" s="37"/>
      <c r="J81" s="26"/>
      <c r="K81" s="24"/>
    </row>
    <row r="82" spans="2:13" ht="16.5" customHeight="1" thickBot="1" x14ac:dyDescent="0.4">
      <c r="B82" s="100"/>
      <c r="C82" s="48" t="s">
        <v>56</v>
      </c>
      <c r="D82" s="49">
        <v>3</v>
      </c>
      <c r="E82" s="67" t="s">
        <v>37</v>
      </c>
      <c r="F82" s="51"/>
      <c r="J82" s="26"/>
      <c r="K82" s="24"/>
    </row>
    <row r="83" spans="2:13" ht="16.5" customHeight="1" thickBot="1" x14ac:dyDescent="0.4">
      <c r="B83" s="54" t="s">
        <v>77</v>
      </c>
      <c r="C83" s="39" t="s">
        <v>72</v>
      </c>
      <c r="D83" s="71" t="s">
        <v>136</v>
      </c>
      <c r="E83" s="78" t="s">
        <v>37</v>
      </c>
      <c r="F83" s="40">
        <v>2</v>
      </c>
      <c r="L83" s="24"/>
    </row>
    <row r="84" spans="2:13" ht="16.5" customHeight="1" thickBot="1" x14ac:dyDescent="0.4">
      <c r="E84" s="41" t="s">
        <v>36</v>
      </c>
      <c r="F84" s="42">
        <f>SUM(F83:F83)</f>
        <v>2</v>
      </c>
      <c r="M84" s="24"/>
    </row>
    <row r="86" spans="2:13" x14ac:dyDescent="0.35">
      <c r="B86" s="44"/>
      <c r="C86" s="45"/>
      <c r="D86" s="45"/>
      <c r="E86" s="45"/>
      <c r="F86" s="46"/>
      <c r="M86" s="24"/>
    </row>
    <row r="87" spans="2:13" ht="16.5" customHeight="1" thickBot="1" x14ac:dyDescent="0.4"/>
    <row r="88" spans="2:13" ht="19.5" customHeight="1" thickBot="1" x14ac:dyDescent="0.4">
      <c r="B88" s="116" t="s">
        <v>78</v>
      </c>
      <c r="C88" s="97"/>
      <c r="D88" s="97"/>
      <c r="E88" s="97"/>
      <c r="F88" s="98"/>
      <c r="L88" s="24"/>
      <c r="M88" s="24"/>
    </row>
    <row r="89" spans="2:13" ht="29.25" customHeight="1" thickBot="1" x14ac:dyDescent="0.4">
      <c r="B89" s="31"/>
      <c r="C89" s="32" t="s">
        <v>20</v>
      </c>
      <c r="D89" s="32" t="s">
        <v>21</v>
      </c>
      <c r="E89" s="32" t="s">
        <v>22</v>
      </c>
      <c r="F89" s="33" t="s">
        <v>23</v>
      </c>
      <c r="L89" s="24"/>
      <c r="M89" s="24"/>
    </row>
    <row r="90" spans="2:13" ht="16.5" customHeight="1" thickBot="1" x14ac:dyDescent="0.4">
      <c r="B90" s="90"/>
      <c r="C90" s="94" t="s">
        <v>64</v>
      </c>
      <c r="D90" s="35">
        <v>60</v>
      </c>
      <c r="E90" s="87" t="s">
        <v>39</v>
      </c>
      <c r="F90" s="37"/>
      <c r="J90" s="26"/>
      <c r="K90" s="24"/>
    </row>
    <row r="91" spans="2:13" x14ac:dyDescent="0.35">
      <c r="B91" s="58" t="s">
        <v>79</v>
      </c>
      <c r="C91" s="65" t="s">
        <v>80</v>
      </c>
      <c r="D91" s="72">
        <v>120</v>
      </c>
      <c r="E91" s="86" t="s">
        <v>39</v>
      </c>
      <c r="F91" s="66">
        <v>2</v>
      </c>
      <c r="L91" s="24"/>
    </row>
    <row r="92" spans="2:13" ht="16.5" customHeight="1" thickBot="1" x14ac:dyDescent="0.4">
      <c r="B92" s="76" t="s">
        <v>81</v>
      </c>
      <c r="C92" s="77" t="s">
        <v>82</v>
      </c>
      <c r="D92" s="78">
        <v>240</v>
      </c>
      <c r="E92" s="78" t="s">
        <v>39</v>
      </c>
      <c r="F92" s="79">
        <v>2</v>
      </c>
      <c r="L92" s="24"/>
    </row>
    <row r="93" spans="2:13" ht="16.5" customHeight="1" thickBot="1" x14ac:dyDescent="0.4">
      <c r="E93" s="41" t="s">
        <v>36</v>
      </c>
      <c r="F93" s="42">
        <f>SUM(F91:F92)</f>
        <v>4</v>
      </c>
      <c r="M93" s="24"/>
    </row>
    <row r="95" spans="2:13" x14ac:dyDescent="0.35">
      <c r="B95" s="44"/>
      <c r="C95" s="45"/>
      <c r="D95" s="45"/>
      <c r="E95" s="45"/>
      <c r="F95" s="46"/>
      <c r="L95" s="24"/>
      <c r="M95" s="24"/>
    </row>
    <row r="96" spans="2:13" ht="16.5" customHeight="1" thickBot="1" x14ac:dyDescent="0.4">
      <c r="L96" s="63"/>
      <c r="M96" s="24"/>
    </row>
    <row r="97" spans="2:13" ht="22" customHeight="1" thickBot="1" x14ac:dyDescent="0.4">
      <c r="B97" s="96" t="s">
        <v>83</v>
      </c>
      <c r="C97" s="97"/>
      <c r="D97" s="97"/>
      <c r="E97" s="97"/>
      <c r="F97" s="98"/>
      <c r="G97" s="24"/>
      <c r="H97" s="56"/>
      <c r="J97" s="26"/>
    </row>
    <row r="98" spans="2:13" ht="16.5" customHeight="1" thickBot="1" x14ac:dyDescent="0.4">
      <c r="L98" s="63"/>
      <c r="M98" s="24"/>
    </row>
    <row r="99" spans="2:13" ht="19.5" customHeight="1" thickBot="1" x14ac:dyDescent="0.4">
      <c r="B99" s="116" t="s">
        <v>84</v>
      </c>
      <c r="C99" s="97"/>
      <c r="D99" s="97"/>
      <c r="E99" s="97"/>
      <c r="F99" s="98"/>
      <c r="L99" s="24"/>
      <c r="M99" s="24"/>
    </row>
    <row r="100" spans="2:13" ht="29.25" customHeight="1" thickBot="1" x14ac:dyDescent="0.4">
      <c r="B100" s="31"/>
      <c r="C100" s="32" t="s">
        <v>20</v>
      </c>
      <c r="D100" s="32" t="s">
        <v>21</v>
      </c>
      <c r="E100" s="32" t="s">
        <v>22</v>
      </c>
      <c r="F100" s="33" t="s">
        <v>23</v>
      </c>
      <c r="L100" s="24"/>
      <c r="M100" s="24"/>
    </row>
    <row r="101" spans="2:13" x14ac:dyDescent="0.35">
      <c r="B101" s="117"/>
      <c r="C101" s="94" t="s">
        <v>63</v>
      </c>
      <c r="D101" s="35">
        <v>7</v>
      </c>
      <c r="E101" s="80" t="s">
        <v>29</v>
      </c>
      <c r="F101" s="37"/>
      <c r="J101" s="26"/>
      <c r="K101" s="24"/>
    </row>
    <row r="102" spans="2:13" ht="16.5" customHeight="1" thickBot="1" x14ac:dyDescent="0.4">
      <c r="B102" s="100"/>
      <c r="C102" s="48" t="s">
        <v>64</v>
      </c>
      <c r="D102" s="49">
        <v>5</v>
      </c>
      <c r="E102" s="67" t="s">
        <v>12</v>
      </c>
      <c r="F102" s="51"/>
      <c r="J102" s="26"/>
      <c r="K102" s="24"/>
    </row>
    <row r="103" spans="2:13" ht="16.5" customHeight="1" thickBot="1" x14ac:dyDescent="0.4">
      <c r="B103" s="54" t="s">
        <v>85</v>
      </c>
      <c r="C103" s="39" t="s">
        <v>86</v>
      </c>
      <c r="D103" s="71" t="s">
        <v>137</v>
      </c>
      <c r="E103" s="78" t="s">
        <v>37</v>
      </c>
      <c r="F103" s="40">
        <v>2</v>
      </c>
      <c r="L103" s="24"/>
    </row>
    <row r="104" spans="2:13" ht="16.5" customHeight="1" thickBot="1" x14ac:dyDescent="0.4">
      <c r="E104" s="41" t="s">
        <v>36</v>
      </c>
      <c r="F104" s="42">
        <f>SUM(F103:F103)</f>
        <v>2</v>
      </c>
      <c r="M104" s="24"/>
    </row>
    <row r="106" spans="2:13" x14ac:dyDescent="0.35">
      <c r="B106" s="44"/>
      <c r="C106" s="45"/>
      <c r="D106" s="45"/>
      <c r="E106" s="45"/>
      <c r="F106" s="46"/>
      <c r="L106" s="24"/>
      <c r="M106" s="24"/>
    </row>
    <row r="107" spans="2:13" ht="16.5" customHeight="1" thickBot="1" x14ac:dyDescent="0.4">
      <c r="L107" s="63"/>
      <c r="M107" s="24"/>
    </row>
    <row r="108" spans="2:13" ht="19.5" customHeight="1" thickBot="1" x14ac:dyDescent="0.4">
      <c r="B108" s="116" t="s">
        <v>87</v>
      </c>
      <c r="C108" s="97"/>
      <c r="D108" s="97"/>
      <c r="E108" s="97"/>
      <c r="F108" s="98"/>
      <c r="L108" s="24"/>
      <c r="M108" s="24"/>
    </row>
    <row r="109" spans="2:13" ht="29.25" customHeight="1" thickBot="1" x14ac:dyDescent="0.4">
      <c r="B109" s="31"/>
      <c r="C109" s="32" t="s">
        <v>20</v>
      </c>
      <c r="D109" s="32" t="s">
        <v>21</v>
      </c>
      <c r="E109" s="32" t="s">
        <v>22</v>
      </c>
      <c r="F109" s="33" t="s">
        <v>23</v>
      </c>
      <c r="L109" s="24"/>
      <c r="M109" s="24"/>
    </row>
    <row r="110" spans="2:13" x14ac:dyDescent="0.35">
      <c r="B110" s="117"/>
      <c r="C110" s="94" t="s">
        <v>42</v>
      </c>
      <c r="D110" s="35">
        <v>10</v>
      </c>
      <c r="E110" s="84"/>
      <c r="F110" s="37"/>
      <c r="J110" s="26"/>
      <c r="K110" s="24"/>
    </row>
    <row r="111" spans="2:13" ht="16.5" customHeight="1" thickBot="1" x14ac:dyDescent="0.4">
      <c r="B111" s="100"/>
      <c r="C111" s="48" t="s">
        <v>56</v>
      </c>
      <c r="D111" s="49">
        <v>350</v>
      </c>
      <c r="E111" s="67" t="s">
        <v>15</v>
      </c>
      <c r="F111" s="51"/>
      <c r="J111" s="26"/>
      <c r="K111" s="24"/>
    </row>
    <row r="112" spans="2:13" ht="16.5" customHeight="1" thickBot="1" x14ac:dyDescent="0.4">
      <c r="B112" s="54" t="s">
        <v>88</v>
      </c>
      <c r="C112" s="39" t="s">
        <v>89</v>
      </c>
      <c r="D112" s="71" t="s">
        <v>139</v>
      </c>
      <c r="E112" s="78" t="s">
        <v>37</v>
      </c>
      <c r="F112" s="40">
        <v>2</v>
      </c>
      <c r="L112" s="24"/>
    </row>
    <row r="113" spans="2:13" ht="16.5" customHeight="1" thickBot="1" x14ac:dyDescent="0.4">
      <c r="E113" s="41" t="s">
        <v>36</v>
      </c>
      <c r="F113" s="42">
        <f>SUM(F112:F112)</f>
        <v>2</v>
      </c>
      <c r="M113" s="24"/>
    </row>
    <row r="115" spans="2:13" x14ac:dyDescent="0.35">
      <c r="B115" s="44"/>
      <c r="C115" s="45"/>
      <c r="D115" s="45"/>
      <c r="E115" s="45"/>
      <c r="F115" s="46"/>
      <c r="L115" s="24"/>
      <c r="M115" s="24"/>
    </row>
    <row r="116" spans="2:13" ht="16.5" customHeight="1" thickBot="1" x14ac:dyDescent="0.4">
      <c r="L116" s="63"/>
      <c r="M116" s="24"/>
    </row>
    <row r="117" spans="2:13" ht="19.5" customHeight="1" thickBot="1" x14ac:dyDescent="0.4">
      <c r="B117" s="116" t="s">
        <v>90</v>
      </c>
      <c r="C117" s="97"/>
      <c r="D117" s="97"/>
      <c r="E117" s="97"/>
      <c r="F117" s="98"/>
      <c r="L117" s="24"/>
      <c r="M117" s="24"/>
    </row>
    <row r="118" spans="2:13" ht="29.25" customHeight="1" thickBot="1" x14ac:dyDescent="0.4">
      <c r="B118" s="31"/>
      <c r="C118" s="32" t="s">
        <v>20</v>
      </c>
      <c r="D118" s="32" t="s">
        <v>21</v>
      </c>
      <c r="E118" s="32" t="s">
        <v>22</v>
      </c>
      <c r="F118" s="33" t="s">
        <v>23</v>
      </c>
      <c r="L118" s="24"/>
      <c r="M118" s="24"/>
    </row>
    <row r="119" spans="2:13" x14ac:dyDescent="0.35">
      <c r="B119" s="117"/>
      <c r="C119" s="94" t="s">
        <v>91</v>
      </c>
      <c r="D119" s="35">
        <v>6</v>
      </c>
      <c r="E119" s="80" t="s">
        <v>39</v>
      </c>
      <c r="F119" s="37"/>
      <c r="J119" s="26"/>
      <c r="K119" s="24"/>
    </row>
    <row r="120" spans="2:13" ht="16.5" customHeight="1" thickBot="1" x14ac:dyDescent="0.4">
      <c r="B120" s="100"/>
      <c r="C120" s="48" t="s">
        <v>92</v>
      </c>
      <c r="D120" s="49">
        <v>12</v>
      </c>
      <c r="E120" s="67" t="s">
        <v>39</v>
      </c>
      <c r="F120" s="51"/>
      <c r="J120" s="26"/>
      <c r="K120" s="24"/>
    </row>
    <row r="121" spans="2:13" x14ac:dyDescent="0.35">
      <c r="B121" s="58" t="s">
        <v>93</v>
      </c>
      <c r="C121" s="65" t="s">
        <v>42</v>
      </c>
      <c r="D121" s="72">
        <v>5</v>
      </c>
      <c r="E121" s="84"/>
      <c r="F121" s="66">
        <v>1</v>
      </c>
      <c r="L121" s="24"/>
    </row>
    <row r="122" spans="2:13" x14ac:dyDescent="0.35">
      <c r="B122" s="68" t="s">
        <v>94</v>
      </c>
      <c r="C122" s="64" t="s">
        <v>44</v>
      </c>
      <c r="D122" s="74">
        <v>0</v>
      </c>
      <c r="E122" s="15"/>
      <c r="F122" s="69">
        <v>1</v>
      </c>
      <c r="L122" s="24"/>
    </row>
    <row r="123" spans="2:13" x14ac:dyDescent="0.35">
      <c r="B123" s="68" t="s">
        <v>95</v>
      </c>
      <c r="C123" s="64" t="s">
        <v>96</v>
      </c>
      <c r="D123" s="74">
        <v>2</v>
      </c>
      <c r="E123" s="15"/>
      <c r="F123" s="69">
        <v>1</v>
      </c>
      <c r="L123" s="24"/>
    </row>
    <row r="124" spans="2:13" ht="16.5" customHeight="1" thickBot="1" x14ac:dyDescent="0.4">
      <c r="B124" s="59" t="s">
        <v>97</v>
      </c>
      <c r="C124" s="60" t="s">
        <v>98</v>
      </c>
      <c r="D124" s="73">
        <v>3</v>
      </c>
      <c r="E124" s="15"/>
      <c r="F124" s="61">
        <v>1</v>
      </c>
      <c r="L124" s="24"/>
    </row>
    <row r="125" spans="2:13" ht="16.5" customHeight="1" thickBot="1" x14ac:dyDescent="0.4">
      <c r="E125" s="41" t="s">
        <v>36</v>
      </c>
      <c r="F125" s="42">
        <f>SUM(F121:F124)</f>
        <v>4</v>
      </c>
      <c r="M125" s="24"/>
    </row>
    <row r="127" spans="2:13" x14ac:dyDescent="0.35">
      <c r="B127" s="44"/>
      <c r="C127" s="45"/>
      <c r="D127" s="45"/>
      <c r="E127" s="45"/>
      <c r="F127" s="46"/>
      <c r="L127" s="24"/>
      <c r="M127" s="24"/>
    </row>
    <row r="128" spans="2:13" ht="16.5" customHeight="1" thickBot="1" x14ac:dyDescent="0.4">
      <c r="L128" s="63"/>
      <c r="M128" s="24"/>
    </row>
    <row r="129" spans="2:13" ht="19.5" customHeight="1" thickBot="1" x14ac:dyDescent="0.4">
      <c r="B129" s="116" t="s">
        <v>99</v>
      </c>
      <c r="C129" s="97"/>
      <c r="D129" s="97"/>
      <c r="E129" s="97"/>
      <c r="F129" s="98"/>
      <c r="L129" s="24"/>
      <c r="M129" s="24"/>
    </row>
    <row r="130" spans="2:13" ht="29.25" customHeight="1" thickBot="1" x14ac:dyDescent="0.4">
      <c r="B130" s="31"/>
      <c r="C130" s="32" t="s">
        <v>20</v>
      </c>
      <c r="D130" s="32" t="s">
        <v>21</v>
      </c>
      <c r="E130" s="32" t="s">
        <v>22</v>
      </c>
      <c r="F130" s="33" t="s">
        <v>23</v>
      </c>
      <c r="L130" s="24"/>
      <c r="M130" s="24"/>
    </row>
    <row r="131" spans="2:13" x14ac:dyDescent="0.35">
      <c r="B131" s="117"/>
      <c r="C131" s="94" t="s">
        <v>91</v>
      </c>
      <c r="D131" s="35">
        <v>80</v>
      </c>
      <c r="E131" s="80" t="s">
        <v>39</v>
      </c>
      <c r="F131" s="37"/>
      <c r="J131" s="26"/>
      <c r="K131" s="24"/>
    </row>
    <row r="132" spans="2:13" ht="16.5" customHeight="1" thickBot="1" x14ac:dyDescent="0.4">
      <c r="B132" s="100"/>
      <c r="C132" s="48" t="s">
        <v>92</v>
      </c>
      <c r="D132" s="49">
        <v>60</v>
      </c>
      <c r="E132" s="67" t="s">
        <v>39</v>
      </c>
      <c r="F132" s="51"/>
      <c r="J132" s="26"/>
      <c r="K132" s="24"/>
    </row>
    <row r="133" spans="2:13" x14ac:dyDescent="0.35">
      <c r="B133" s="58" t="s">
        <v>100</v>
      </c>
      <c r="C133" s="65" t="s">
        <v>101</v>
      </c>
      <c r="D133" s="72">
        <v>120</v>
      </c>
      <c r="E133" s="84"/>
      <c r="F133" s="66">
        <v>1</v>
      </c>
      <c r="L133" s="24"/>
    </row>
    <row r="134" spans="2:13" x14ac:dyDescent="0.35">
      <c r="B134" s="68" t="s">
        <v>102</v>
      </c>
      <c r="C134" s="64" t="s">
        <v>103</v>
      </c>
      <c r="D134" s="74">
        <v>2</v>
      </c>
      <c r="E134" s="15"/>
      <c r="F134" s="69">
        <v>1</v>
      </c>
      <c r="L134" s="24"/>
    </row>
    <row r="135" spans="2:13" x14ac:dyDescent="0.35">
      <c r="B135" s="68" t="s">
        <v>104</v>
      </c>
      <c r="C135" s="64" t="s">
        <v>105</v>
      </c>
      <c r="D135" s="74">
        <v>3</v>
      </c>
      <c r="E135" s="15"/>
      <c r="F135" s="69">
        <v>1</v>
      </c>
      <c r="L135" s="24"/>
    </row>
    <row r="136" spans="2:13" ht="16.5" customHeight="1" thickBot="1" x14ac:dyDescent="0.4">
      <c r="B136" s="59" t="s">
        <v>106</v>
      </c>
      <c r="C136" s="60" t="s">
        <v>107</v>
      </c>
      <c r="D136" s="73">
        <v>72</v>
      </c>
      <c r="E136" s="15"/>
      <c r="F136" s="61">
        <v>1</v>
      </c>
      <c r="L136" s="24"/>
    </row>
    <row r="137" spans="2:13" ht="16.5" customHeight="1" thickBot="1" x14ac:dyDescent="0.4">
      <c r="E137" s="41" t="s">
        <v>36</v>
      </c>
      <c r="F137" s="42">
        <f>SUM(F133:F136)</f>
        <v>4</v>
      </c>
      <c r="M137" s="24"/>
    </row>
    <row r="139" spans="2:13" x14ac:dyDescent="0.35">
      <c r="B139" s="44"/>
      <c r="C139" s="45"/>
      <c r="D139" s="45"/>
      <c r="E139" s="45"/>
      <c r="F139" s="46"/>
      <c r="L139" s="24"/>
      <c r="M139" s="24"/>
    </row>
    <row r="140" spans="2:13" ht="16.5" customHeight="1" thickBot="1" x14ac:dyDescent="0.4">
      <c r="L140" s="63"/>
      <c r="M140" s="24"/>
    </row>
    <row r="141" spans="2:13" ht="19.5" customHeight="1" thickBot="1" x14ac:dyDescent="0.4">
      <c r="B141" s="116" t="s">
        <v>108</v>
      </c>
      <c r="C141" s="97"/>
      <c r="D141" s="97"/>
      <c r="E141" s="97"/>
      <c r="F141" s="98"/>
      <c r="L141" s="24"/>
      <c r="M141" s="24"/>
    </row>
    <row r="142" spans="2:13" ht="29.25" customHeight="1" thickBot="1" x14ac:dyDescent="0.4">
      <c r="B142" s="31"/>
      <c r="C142" s="32" t="s">
        <v>20</v>
      </c>
      <c r="D142" s="32" t="s">
        <v>21</v>
      </c>
      <c r="E142" s="32" t="s">
        <v>22</v>
      </c>
      <c r="F142" s="33" t="s">
        <v>23</v>
      </c>
      <c r="L142" s="24"/>
      <c r="M142" s="24"/>
    </row>
    <row r="143" spans="2:13" x14ac:dyDescent="0.35">
      <c r="B143" s="90"/>
      <c r="C143" s="94" t="s">
        <v>109</v>
      </c>
      <c r="D143" s="35">
        <v>10</v>
      </c>
      <c r="E143" s="80" t="s">
        <v>29</v>
      </c>
      <c r="F143" s="37"/>
      <c r="J143" s="26"/>
      <c r="K143" s="24"/>
    </row>
    <row r="144" spans="2:13" x14ac:dyDescent="0.35">
      <c r="B144" s="91"/>
      <c r="C144" s="48" t="s">
        <v>42</v>
      </c>
      <c r="D144" s="49">
        <v>1</v>
      </c>
      <c r="E144" s="15"/>
      <c r="F144" s="51"/>
      <c r="J144" s="26"/>
      <c r="K144" s="24"/>
    </row>
    <row r="145" spans="2:13" ht="16.5" customHeight="1" thickBot="1" x14ac:dyDescent="0.4">
      <c r="B145" s="91"/>
      <c r="C145" s="95" t="s">
        <v>110</v>
      </c>
      <c r="D145" s="81">
        <v>10</v>
      </c>
      <c r="E145" s="88" t="s">
        <v>37</v>
      </c>
      <c r="F145" s="83"/>
      <c r="J145" s="26"/>
      <c r="K145" s="24"/>
    </row>
    <row r="146" spans="2:13" x14ac:dyDescent="0.35">
      <c r="B146" s="58" t="s">
        <v>111</v>
      </c>
      <c r="C146" s="65" t="s">
        <v>112</v>
      </c>
      <c r="D146" s="72">
        <v>240</v>
      </c>
      <c r="E146" s="84"/>
      <c r="F146" s="66">
        <v>2</v>
      </c>
      <c r="L146" s="24"/>
    </row>
    <row r="147" spans="2:13" ht="16.5" customHeight="1" thickBot="1" x14ac:dyDescent="0.4">
      <c r="B147" s="59" t="s">
        <v>113</v>
      </c>
      <c r="C147" s="60" t="s">
        <v>114</v>
      </c>
      <c r="D147" s="118" t="s">
        <v>138</v>
      </c>
      <c r="E147" s="89"/>
      <c r="F147" s="61">
        <v>2</v>
      </c>
      <c r="L147" s="24"/>
    </row>
    <row r="148" spans="2:13" ht="16.5" customHeight="1" thickBot="1" x14ac:dyDescent="0.4">
      <c r="E148" s="41" t="s">
        <v>36</v>
      </c>
      <c r="F148" s="42">
        <f>SUM(F146:F147)</f>
        <v>4</v>
      </c>
      <c r="M148" s="24"/>
    </row>
    <row r="150" spans="2:13" x14ac:dyDescent="0.35">
      <c r="B150" s="44"/>
      <c r="C150" s="45"/>
      <c r="D150" s="45"/>
      <c r="E150" s="45"/>
      <c r="F150" s="46"/>
      <c r="L150" s="24"/>
      <c r="M150" s="24"/>
    </row>
    <row r="151" spans="2:13" ht="16.5" customHeight="1" thickBot="1" x14ac:dyDescent="0.4">
      <c r="L151" s="63"/>
      <c r="M151" s="24"/>
    </row>
    <row r="152" spans="2:13" ht="19.5" customHeight="1" thickBot="1" x14ac:dyDescent="0.4">
      <c r="B152" s="116" t="s">
        <v>115</v>
      </c>
      <c r="C152" s="97"/>
      <c r="D152" s="97"/>
      <c r="E152" s="97"/>
      <c r="F152" s="98"/>
      <c r="L152" s="24"/>
      <c r="M152" s="24"/>
    </row>
    <row r="153" spans="2:13" ht="29.25" customHeight="1" thickBot="1" x14ac:dyDescent="0.4">
      <c r="B153" s="31"/>
      <c r="C153" s="32" t="s">
        <v>20</v>
      </c>
      <c r="D153" s="32" t="s">
        <v>21</v>
      </c>
      <c r="E153" s="32" t="s">
        <v>22</v>
      </c>
      <c r="F153" s="33" t="s">
        <v>23</v>
      </c>
      <c r="L153" s="24"/>
      <c r="M153" s="24"/>
    </row>
    <row r="154" spans="2:13" x14ac:dyDescent="0.35">
      <c r="B154" s="117"/>
      <c r="C154" s="94" t="s">
        <v>116</v>
      </c>
      <c r="D154" s="35">
        <v>1</v>
      </c>
      <c r="E154" s="80" t="s">
        <v>117</v>
      </c>
      <c r="F154" s="37"/>
      <c r="J154" s="26"/>
      <c r="K154" s="24"/>
    </row>
    <row r="155" spans="2:13" x14ac:dyDescent="0.35">
      <c r="B155" s="100"/>
      <c r="C155" s="48" t="s">
        <v>118</v>
      </c>
      <c r="D155" s="49">
        <v>8</v>
      </c>
      <c r="E155" s="50" t="s">
        <v>117</v>
      </c>
      <c r="F155" s="51"/>
      <c r="J155" s="26"/>
      <c r="K155" s="24"/>
    </row>
    <row r="156" spans="2:13" ht="16.5" customHeight="1" thickBot="1" x14ac:dyDescent="0.4">
      <c r="B156" s="91"/>
      <c r="C156" s="95" t="s">
        <v>119</v>
      </c>
      <c r="D156" s="81">
        <v>11</v>
      </c>
      <c r="E156" s="88" t="s">
        <v>117</v>
      </c>
      <c r="F156" s="83"/>
      <c r="J156" s="26"/>
      <c r="K156" s="24"/>
    </row>
    <row r="157" spans="2:13" x14ac:dyDescent="0.35">
      <c r="B157" s="58" t="s">
        <v>120</v>
      </c>
      <c r="C157" s="65" t="s">
        <v>121</v>
      </c>
      <c r="D157" s="72"/>
      <c r="E157" s="84"/>
      <c r="F157" s="66">
        <v>1</v>
      </c>
      <c r="L157" s="24"/>
    </row>
    <row r="158" spans="2:13" x14ac:dyDescent="0.35">
      <c r="B158" s="68" t="s">
        <v>122</v>
      </c>
      <c r="C158" s="64" t="s">
        <v>123</v>
      </c>
      <c r="D158" s="74"/>
      <c r="E158" s="15"/>
      <c r="F158" s="69">
        <v>1</v>
      </c>
      <c r="L158" s="24"/>
    </row>
    <row r="159" spans="2:13" x14ac:dyDescent="0.35">
      <c r="B159" s="68" t="s">
        <v>124</v>
      </c>
      <c r="C159" s="64" t="s">
        <v>25</v>
      </c>
      <c r="D159" s="74"/>
      <c r="E159" s="15"/>
      <c r="F159" s="69">
        <v>1</v>
      </c>
      <c r="L159" s="24"/>
    </row>
    <row r="160" spans="2:13" ht="16.5" customHeight="1" thickBot="1" x14ac:dyDescent="0.4">
      <c r="B160" s="59" t="s">
        <v>125</v>
      </c>
      <c r="C160" s="60" t="s">
        <v>28</v>
      </c>
      <c r="D160" s="73"/>
      <c r="E160" s="15"/>
      <c r="F160" s="61">
        <v>1</v>
      </c>
      <c r="L160" s="24"/>
    </row>
    <row r="161" spans="2:13" ht="16.5" customHeight="1" thickBot="1" x14ac:dyDescent="0.4">
      <c r="E161" s="41" t="s">
        <v>36</v>
      </c>
      <c r="F161" s="42">
        <f>SUM(F157:F160)</f>
        <v>4</v>
      </c>
      <c r="M161" s="24"/>
    </row>
    <row r="162" spans="2:13" x14ac:dyDescent="0.35">
      <c r="E162" s="92"/>
      <c r="F162" s="28"/>
      <c r="M162" s="24"/>
    </row>
    <row r="163" spans="2:13" x14ac:dyDescent="0.35">
      <c r="B163" s="44"/>
      <c r="C163" s="45"/>
      <c r="D163" s="45"/>
      <c r="E163" s="45"/>
      <c r="F163" s="46"/>
      <c r="L163" s="24"/>
      <c r="M163" s="24"/>
    </row>
    <row r="164" spans="2:13" ht="16.5" customHeight="1" thickBot="1" x14ac:dyDescent="0.4"/>
    <row r="165" spans="2:13" ht="19.5" customHeight="1" thickBot="1" x14ac:dyDescent="0.4">
      <c r="B165" s="116" t="s">
        <v>126</v>
      </c>
      <c r="C165" s="97"/>
      <c r="D165" s="97"/>
      <c r="E165" s="97"/>
      <c r="F165" s="98"/>
      <c r="L165" s="24"/>
      <c r="M165" s="24"/>
    </row>
    <row r="166" spans="2:13" ht="29.25" customHeight="1" thickBot="1" x14ac:dyDescent="0.4">
      <c r="B166" s="31"/>
      <c r="C166" s="32" t="s">
        <v>20</v>
      </c>
      <c r="D166" s="32" t="s">
        <v>21</v>
      </c>
      <c r="E166" s="32" t="s">
        <v>22</v>
      </c>
      <c r="F166" s="33" t="s">
        <v>23</v>
      </c>
      <c r="L166" s="24"/>
      <c r="M166" s="24"/>
    </row>
    <row r="167" spans="2:13" x14ac:dyDescent="0.35">
      <c r="B167" s="117"/>
      <c r="C167" s="94" t="s">
        <v>127</v>
      </c>
      <c r="D167" s="35">
        <v>9</v>
      </c>
      <c r="E167" s="80" t="s">
        <v>35</v>
      </c>
      <c r="F167" s="37"/>
      <c r="J167" s="26"/>
      <c r="K167" s="24"/>
    </row>
    <row r="168" spans="2:13" ht="16.5" customHeight="1" thickBot="1" x14ac:dyDescent="0.4">
      <c r="B168" s="100"/>
      <c r="C168" s="48" t="s">
        <v>91</v>
      </c>
      <c r="D168" s="49">
        <v>650</v>
      </c>
      <c r="E168" s="67" t="s">
        <v>39</v>
      </c>
      <c r="F168" s="51"/>
      <c r="J168" s="26"/>
      <c r="K168" s="24"/>
    </row>
    <row r="169" spans="2:13" x14ac:dyDescent="0.35">
      <c r="B169" s="58" t="s">
        <v>128</v>
      </c>
      <c r="C169" s="65" t="s">
        <v>129</v>
      </c>
      <c r="D169" s="72"/>
      <c r="E169" s="86"/>
      <c r="F169" s="66">
        <v>2</v>
      </c>
      <c r="L169" s="24"/>
    </row>
    <row r="170" spans="2:13" ht="16.5" customHeight="1" thickBot="1" x14ac:dyDescent="0.4">
      <c r="B170" s="59" t="s">
        <v>130</v>
      </c>
      <c r="C170" s="60" t="s">
        <v>131</v>
      </c>
      <c r="D170" s="73"/>
      <c r="E170" s="73"/>
      <c r="F170" s="61">
        <v>2</v>
      </c>
      <c r="L170" s="24"/>
    </row>
    <row r="171" spans="2:13" ht="16.5" customHeight="1" thickBot="1" x14ac:dyDescent="0.4">
      <c r="E171" s="41" t="s">
        <v>36</v>
      </c>
      <c r="F171" s="42">
        <f>SUM(F169:F170)</f>
        <v>4</v>
      </c>
      <c r="M171" s="24"/>
    </row>
  </sheetData>
  <mergeCells count="42">
    <mergeCell ref="B154:B155"/>
    <mergeCell ref="B165:F165"/>
    <mergeCell ref="B167:B168"/>
    <mergeCell ref="B129:F129"/>
    <mergeCell ref="B131:B132"/>
    <mergeCell ref="B141:F141"/>
    <mergeCell ref="B152:F152"/>
    <mergeCell ref="B101:B102"/>
    <mergeCell ref="B108:F108"/>
    <mergeCell ref="B110:B111"/>
    <mergeCell ref="B117:F117"/>
    <mergeCell ref="B119:B120"/>
    <mergeCell ref="B79:F79"/>
    <mergeCell ref="B81:B82"/>
    <mergeCell ref="B88:F88"/>
    <mergeCell ref="B99:F99"/>
    <mergeCell ref="B70:F70"/>
    <mergeCell ref="B72:B73"/>
    <mergeCell ref="B19:F19"/>
    <mergeCell ref="B59:F59"/>
    <mergeCell ref="B50:F50"/>
    <mergeCell ref="B38:F38"/>
    <mergeCell ref="B31:B32"/>
    <mergeCell ref="B40:B41"/>
    <mergeCell ref="B52:B53"/>
    <mergeCell ref="B21:B23"/>
    <mergeCell ref="B17:F17"/>
    <mergeCell ref="B48:F48"/>
    <mergeCell ref="B97:F97"/>
    <mergeCell ref="B61:B63"/>
    <mergeCell ref="E1:F1"/>
    <mergeCell ref="B2:C2"/>
    <mergeCell ref="E2:F2"/>
    <mergeCell ref="B4:F4"/>
    <mergeCell ref="B1:C1"/>
    <mergeCell ref="D14:E14"/>
    <mergeCell ref="D15:E15"/>
    <mergeCell ref="C6:D6"/>
    <mergeCell ref="C7:D7"/>
    <mergeCell ref="C8:D8"/>
    <mergeCell ref="B10:F10"/>
    <mergeCell ref="B29:F29"/>
  </mergeCells>
  <dataValidations count="1">
    <dataValidation type="list" showInputMessage="1" showErrorMessage="1" sqref="E54 E169:E170 E112 E103 E91:E92 E83 E74 E64:E65 E42:E43 E33" xr:uid="{00000000-0002-0000-0000-000000000000}">
      <formula1>$I$21:$I$40</formula1>
    </dataValidation>
  </dataValidations>
  <pageMargins left="0.70833333333333304" right="0.70833333333333304" top="0.74791666666666701" bottom="0.74791666666666701" header="0.51180555555555496" footer="0.51180555555555496"/>
  <pageSetup paperSize="9"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 Grobler</dc:creator>
  <cp:lastModifiedBy>ruan reyneke</cp:lastModifiedBy>
  <cp:revision>42</cp:revision>
  <dcterms:created xsi:type="dcterms:W3CDTF">2018-04-10T11:33:09Z</dcterms:created>
  <dcterms:modified xsi:type="dcterms:W3CDTF">2021-04-22T11:16:19Z</dcterms:modified>
  <dc:language>en-ZA</dc:language>
</cp:coreProperties>
</file>