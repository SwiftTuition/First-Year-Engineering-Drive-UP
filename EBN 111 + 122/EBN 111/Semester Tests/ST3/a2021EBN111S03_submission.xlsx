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500" firstSheet="0" activeTab="0" autoFilterDateGrouping="1"/>
  </bookViews>
  <sheets>
    <sheet name="Sheet1" sheetId="1" state="visible" r:id="rId1"/>
    <sheet name="Sheet2" sheetId="2" state="visible" r:id="rId2"/>
  </sheets>
  <definedNames>
    <definedName name="_xlnm.Print_Area" localSheetId="0">'Sheet1'!$B$1:$F$15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R&quot;#,##0;[Red]\-&quot;R&quot;#,##0"/>
    <numFmt numFmtId="165" formatCode="\R#,##0;[Red]&quot;-R&quot;#,##0"/>
    <numFmt numFmtId="166" formatCode="dddd&quot;, &quot;mmmm\ dd&quot;, &quot;yyyy"/>
  </numFmts>
  <fonts count="24">
    <font>
      <name val="Calibri"/>
      <charset val="1"/>
      <family val="2"/>
      <color rgb="FF000000"/>
      <sz val="12"/>
    </font>
    <font>
      <name val="Calibri"/>
      <charset val="1"/>
      <family val="2"/>
      <color rgb="FFBFBFBF"/>
      <sz val="12"/>
    </font>
    <font>
      <name val="Times New Roman"/>
      <charset val="1"/>
      <family val="1"/>
      <b val="1"/>
      <color rgb="FF000000"/>
      <sz val="14"/>
    </font>
    <font>
      <name val="Times New Roman"/>
      <charset val="1"/>
      <family val="1"/>
      <b val="1"/>
      <color rgb="FF000000"/>
      <sz val="11"/>
    </font>
    <font>
      <name val="Times New Roman"/>
      <charset val="1"/>
      <family val="1"/>
      <b val="1"/>
      <sz val="11"/>
    </font>
    <font>
      <name val="Calibri"/>
      <charset val="1"/>
      <family val="2"/>
      <color rgb="FFBFBFBF"/>
      <sz val="11"/>
    </font>
    <font>
      <name val="Calibri"/>
      <charset val="1"/>
      <family val="2"/>
      <color rgb="FF000000"/>
      <sz val="11"/>
    </font>
    <font>
      <name val="Times New Roman"/>
      <charset val="1"/>
      <family val="1"/>
      <b val="1"/>
      <color rgb="FFBFBFBF"/>
      <sz val="11"/>
    </font>
    <font>
      <name val="Times New Roman"/>
      <charset val="1"/>
      <family val="1"/>
      <b val="1"/>
      <color rgb="FFBFBFBF"/>
      <sz val="12"/>
    </font>
    <font>
      <name val="Times New Roman"/>
      <charset val="1"/>
      <family val="1"/>
      <color rgb="FF000000"/>
      <sz val="11"/>
    </font>
    <font>
      <name val="Calibri"/>
      <charset val="1"/>
      <family val="2"/>
      <b val="1"/>
      <color rgb="FF000000"/>
      <sz val="11"/>
    </font>
    <font>
      <name val="Times New Roman"/>
      <charset val="1"/>
      <family val="1"/>
      <b val="1"/>
      <color rgb="FF000000"/>
      <sz val="12"/>
    </font>
    <font>
      <name val="Times New Roman"/>
      <charset val="1"/>
      <family val="1"/>
      <b val="1"/>
      <color rgb="FF000000"/>
      <sz val="16"/>
    </font>
    <font>
      <name val="Times New Roman"/>
      <charset val="1"/>
      <family val="1"/>
      <color rgb="FFBFBFBF"/>
      <sz val="11"/>
    </font>
    <font>
      <name val="Times New Roman"/>
      <charset val="1"/>
      <family val="1"/>
      <color rgb="FFBFBFBF"/>
      <sz val="12"/>
    </font>
    <font>
      <name val="Times New Roman"/>
      <charset val="1"/>
      <family val="1"/>
      <sz val="11"/>
    </font>
    <font>
      <name val="Times New Roman"/>
      <charset val="1"/>
      <family val="1"/>
      <color rgb="FFFF0000"/>
      <sz val="11"/>
    </font>
    <font>
      <name val="Calibri"/>
      <charset val="1"/>
      <family val="2"/>
      <sz val="8"/>
    </font>
    <font>
      <name val="Times New Roman"/>
      <charset val="1"/>
      <family val="1"/>
      <sz val="10"/>
    </font>
    <font>
      <name val="Times New Roman"/>
      <family val="1"/>
      <i val="1"/>
      <color rgb="FF000000"/>
      <sz val="11"/>
    </font>
    <font>
      <name val="Times New Roman"/>
      <family val="1"/>
      <b val="1"/>
      <i val="1"/>
      <color rgb="FF000000"/>
      <sz val="11"/>
    </font>
    <font>
      <name val="Times New Roman"/>
      <family val="1"/>
      <b val="1"/>
      <color rgb="FF000000"/>
      <sz val="11"/>
    </font>
    <font>
      <name val="Times New Roman"/>
      <family val="1"/>
      <color rgb="FF000000"/>
      <sz val="11"/>
    </font>
    <font>
      <name val="Times New Roman"/>
      <family val="1"/>
      <b val="1"/>
      <color rgb="FF000000"/>
      <sz val="18"/>
    </font>
  </fonts>
  <fills count="9">
    <fill>
      <patternFill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333300"/>
      </patternFill>
    </fill>
  </fills>
  <borders count="4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3" fillId="2" borderId="1" applyAlignment="1" pivotButton="0" quotePrefix="0" xfId="0">
      <alignment vertic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6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9" fillId="0" borderId="0" applyAlignment="1" pivotButton="0" quotePrefix="0" xfId="0">
      <alignment vertical="top"/>
    </xf>
    <xf numFmtId="0" fontId="6" fillId="0" borderId="0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top"/>
    </xf>
    <xf numFmtId="0" fontId="9" fillId="3" borderId="1" applyAlignment="1" pivotButton="0" quotePrefix="0" xfId="0">
      <alignment horizontal="left" vertical="top"/>
    </xf>
    <xf numFmtId="0" fontId="9" fillId="7" borderId="1" pivotButton="0" quotePrefix="0" xfId="0"/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right" vertical="top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1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/>
    </xf>
    <xf numFmtId="0" fontId="9" fillId="0" borderId="0" pivotButton="0" quotePrefix="0" xfId="0"/>
    <xf numFmtId="0" fontId="12" fillId="0" borderId="19" applyAlignment="1" pivotButton="0" quotePrefix="0" xfId="0">
      <alignment horizontal="center"/>
    </xf>
    <xf numFmtId="0" fontId="13" fillId="0" borderId="0" pivotButton="0" quotePrefix="0" xfId="0"/>
    <xf numFmtId="0" fontId="14" fillId="0" borderId="0" applyAlignment="1" pivotButton="0" quotePrefix="0" xfId="0">
      <alignment horizontal="center"/>
    </xf>
    <xf numFmtId="0" fontId="12" fillId="0" borderId="2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4" fillId="0" borderId="19" applyAlignment="1" pivotButton="0" quotePrefix="0" xfId="0">
      <alignment horizontal="center" wrapText="1"/>
    </xf>
    <xf numFmtId="164" fontId="9" fillId="6" borderId="6" applyAlignment="1" pivotButton="0" quotePrefix="0" xfId="0">
      <alignment horizontal="center" wrapText="1"/>
    </xf>
    <xf numFmtId="0" fontId="15" fillId="6" borderId="6" applyAlignment="1" pivotButton="0" quotePrefix="0" xfId="0">
      <alignment horizontal="center" vertical="center" wrapText="1"/>
    </xf>
    <xf numFmtId="0" fontId="9" fillId="6" borderId="6" applyAlignment="1" pivotButton="0" quotePrefix="0" xfId="0">
      <alignment horizontal="center" wrapText="1"/>
    </xf>
    <xf numFmtId="0" fontId="9" fillId="6" borderId="7" applyAlignment="1" pivotButton="0" quotePrefix="0" xfId="0">
      <alignment horizontal="center"/>
    </xf>
    <xf numFmtId="0" fontId="18" fillId="0" borderId="20" applyAlignment="1" pivotButton="0" quotePrefix="0" xfId="0">
      <alignment horizontal="center"/>
    </xf>
    <xf numFmtId="0" fontId="9" fillId="0" borderId="16" applyAlignment="1" pivotButton="0" quotePrefix="0" xfId="0">
      <alignment horizontal="center"/>
    </xf>
    <xf numFmtId="0" fontId="9" fillId="0" borderId="17" applyAlignment="1" pivotButton="0" quotePrefix="0" xfId="0">
      <alignment horizontal="center"/>
    </xf>
    <xf numFmtId="11" fontId="4" fillId="0" borderId="14" applyAlignment="1" pivotButton="0" quotePrefix="0" xfId="0">
      <alignment horizontal="center" vertical="center" wrapText="1"/>
    </xf>
    <xf numFmtId="0" fontId="11" fillId="0" borderId="10" applyAlignment="1" pivotButton="0" quotePrefix="0" xfId="0">
      <alignment horizontal="center"/>
    </xf>
    <xf numFmtId="0" fontId="0" fillId="0" borderId="0" pivotButton="0" quotePrefix="0" xfId="0"/>
    <xf numFmtId="0" fontId="9" fillId="7" borderId="0" applyAlignment="1" pivotButton="0" quotePrefix="0" xfId="0">
      <alignment horizontal="left"/>
    </xf>
    <xf numFmtId="0" fontId="9" fillId="7" borderId="0" pivotButton="0" quotePrefix="0" xfId="0"/>
    <xf numFmtId="0" fontId="9" fillId="7" borderId="0" applyAlignment="1" pivotButton="0" quotePrefix="0" xfId="0">
      <alignment horizontal="center"/>
    </xf>
    <xf numFmtId="0" fontId="18" fillId="0" borderId="20" applyAlignment="1" pivotButton="0" quotePrefix="0" xfId="0">
      <alignment horizontal="center"/>
    </xf>
    <xf numFmtId="165" fontId="9" fillId="4" borderId="1" applyAlignment="1" pivotButton="0" quotePrefix="0" xfId="0">
      <alignment horizontal="center" wrapText="1"/>
    </xf>
    <xf numFmtId="0" fontId="15" fillId="4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wrapText="1"/>
    </xf>
    <xf numFmtId="0" fontId="9" fillId="4" borderId="9" applyAlignment="1" pivotButton="0" quotePrefix="0" xfId="0">
      <alignment horizontal="center"/>
    </xf>
    <xf numFmtId="0" fontId="18" fillId="0" borderId="20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/>
    </xf>
    <xf numFmtId="0" fontId="21" fillId="0" borderId="15" applyAlignment="1" pivotButton="0" quotePrefix="1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0" pivotButton="0" quotePrefix="0" xfId="0"/>
    <xf numFmtId="0" fontId="9" fillId="0" borderId="0" applyAlignment="1" pivotButton="0" quotePrefix="0" xfId="0">
      <alignment wrapText="1"/>
    </xf>
    <xf numFmtId="0" fontId="21" fillId="0" borderId="8" applyAlignment="1" pivotButton="0" quotePrefix="1" xfId="0">
      <alignment horizontal="center"/>
    </xf>
    <xf numFmtId="0" fontId="21" fillId="0" borderId="11" applyAlignment="1" pivotButton="0" quotePrefix="1" xfId="0">
      <alignment horizontal="center"/>
    </xf>
    <xf numFmtId="0" fontId="9" fillId="0" borderId="12" applyAlignment="1" pivotButton="0" quotePrefix="0" xfId="0">
      <alignment horizontal="center"/>
    </xf>
    <xf numFmtId="0" fontId="9" fillId="0" borderId="13" applyAlignment="1" pivotButton="0" quotePrefix="0" xfId="0">
      <alignment horizontal="center"/>
    </xf>
    <xf numFmtId="0" fontId="16" fillId="0" borderId="0" pivotButton="0" quotePrefix="0" xfId="0"/>
    <xf numFmtId="0" fontId="9" fillId="0" borderId="0" applyAlignment="1" pivotButton="0" quotePrefix="0" xfId="0">
      <alignment vertical="center"/>
    </xf>
    <xf numFmtId="0" fontId="9" fillId="0" borderId="6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18" fillId="0" borderId="19" applyAlignment="1" pivotButton="0" quotePrefix="0" xfId="0">
      <alignment horizontal="center"/>
    </xf>
    <xf numFmtId="0" fontId="21" fillId="0" borderId="14" applyAlignment="1" pivotButton="0" quotePrefix="1" xfId="0">
      <alignment horizontal="center"/>
    </xf>
    <xf numFmtId="0" fontId="9" fillId="0" borderId="24" applyAlignment="1" pivotButton="0" quotePrefix="0" xfId="0">
      <alignment horizontal="center"/>
    </xf>
    <xf numFmtId="0" fontId="9" fillId="0" borderId="25" applyAlignment="1" pivotButton="0" quotePrefix="0" xfId="0">
      <alignment horizontal="center"/>
    </xf>
    <xf numFmtId="0" fontId="22" fillId="6" borderId="6" applyAlignment="1" pivotButton="0" quotePrefix="0" xfId="0">
      <alignment horizontal="center" wrapText="1"/>
    </xf>
    <xf numFmtId="0" fontId="9" fillId="7" borderId="6" pivotButton="0" quotePrefix="0" xfId="0"/>
    <xf numFmtId="0" fontId="23" fillId="0" borderId="0" applyAlignment="1" pivotButton="0" quotePrefix="0" xfId="0">
      <alignment horizontal="center" vertical="center"/>
    </xf>
    <xf numFmtId="49" fontId="21" fillId="0" borderId="8" applyAlignment="1" pivotButton="0" quotePrefix="1" xfId="0">
      <alignment horizontal="center"/>
    </xf>
    <xf numFmtId="0" fontId="3" fillId="6" borderId="3" applyAlignment="1" pivotButton="0" quotePrefix="0" xfId="0">
      <alignment vertical="center" wrapText="1"/>
    </xf>
    <xf numFmtId="0" fontId="9" fillId="4" borderId="29" applyAlignment="1" pivotButton="0" quotePrefix="0" xfId="0">
      <alignment horizontal="center" wrapText="1"/>
    </xf>
    <xf numFmtId="164" fontId="9" fillId="0" borderId="6" applyAlignment="1" pivotButton="0" quotePrefix="0" xfId="0">
      <alignment horizontal="center"/>
    </xf>
    <xf numFmtId="0" fontId="9" fillId="7" borderId="16" pivotButton="0" quotePrefix="0" xfId="0"/>
    <xf numFmtId="49" fontId="15" fillId="3" borderId="24" applyAlignment="1" applyProtection="1" pivotButton="0" quotePrefix="0" xfId="0">
      <alignment horizontal="center" vertical="center" wrapText="1"/>
      <protection locked="0" hidden="0"/>
    </xf>
    <xf numFmtId="49" fontId="15" fillId="3" borderId="6" applyAlignment="1" applyProtection="1" pivotButton="0" quotePrefix="0" xfId="0">
      <alignment horizontal="center" vertical="center" wrapText="1"/>
      <protection locked="0" hidden="0"/>
    </xf>
    <xf numFmtId="49" fontId="15" fillId="3" borderId="12" applyAlignment="1" applyProtection="1" pivotButton="0" quotePrefix="0" xfId="0">
      <alignment horizontal="center" vertical="center" wrapText="1"/>
      <protection locked="0" hidden="0"/>
    </xf>
    <xf numFmtId="49" fontId="15" fillId="3" borderId="16" applyAlignment="1" applyProtection="1" pivotButton="0" quotePrefix="0" xfId="0">
      <alignment horizontal="center" vertical="center" wrapText="1"/>
      <protection locked="0" hidden="0"/>
    </xf>
    <xf numFmtId="49" fontId="15" fillId="3" borderId="26" applyAlignment="1" applyProtection="1" pivotButton="0" quotePrefix="0" xfId="0">
      <alignment horizontal="center" vertical="center" wrapText="1"/>
      <protection locked="0" hidden="0"/>
    </xf>
    <xf numFmtId="11" fontId="4" fillId="0" borderId="0" applyAlignment="1" pivotButton="0" quotePrefix="0" xfId="0">
      <alignment horizontal="center" vertical="center" wrapText="1"/>
    </xf>
    <xf numFmtId="0" fontId="9" fillId="7" borderId="24" pivotButton="0" quotePrefix="0" xfId="0"/>
    <xf numFmtId="49" fontId="21" fillId="0" borderId="15" applyAlignment="1" pivotButton="0" quotePrefix="1" xfId="0">
      <alignment horizontal="center"/>
    </xf>
    <xf numFmtId="0" fontId="15" fillId="8" borderId="0" applyAlignment="1" pivotButton="0" quotePrefix="0" xfId="0">
      <alignment horizontal="left"/>
    </xf>
    <xf numFmtId="0" fontId="15" fillId="8" borderId="0" pivotButton="0" quotePrefix="0" xfId="0"/>
    <xf numFmtId="0" fontId="15" fillId="8" borderId="0" applyAlignment="1" pivotButton="0" quotePrefix="0" xfId="0">
      <alignment horizontal="center"/>
    </xf>
    <xf numFmtId="165" fontId="9" fillId="4" borderId="12" applyAlignment="1" pivotButton="0" quotePrefix="0" xfId="0">
      <alignment horizontal="center" wrapText="1"/>
    </xf>
    <xf numFmtId="0" fontId="15" fillId="4" borderId="12" applyAlignment="1" pivotButton="0" quotePrefix="0" xfId="0">
      <alignment horizontal="center" vertical="center" wrapText="1"/>
    </xf>
    <xf numFmtId="0" fontId="9" fillId="4" borderId="12" applyAlignment="1" pivotButton="0" quotePrefix="0" xfId="0">
      <alignment horizontal="center" wrapText="1"/>
    </xf>
    <xf numFmtId="0" fontId="9" fillId="4" borderId="13" applyAlignment="1" pivotButton="0" quotePrefix="0" xfId="0">
      <alignment horizontal="center"/>
    </xf>
    <xf numFmtId="0" fontId="21" fillId="0" borderId="30" applyAlignment="1" pivotButton="0" quotePrefix="1" xfId="0">
      <alignment horizontal="center"/>
    </xf>
    <xf numFmtId="164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1" fillId="0" borderId="31" applyAlignment="1" pivotButton="0" quotePrefix="1" xfId="0">
      <alignment horizontal="center"/>
    </xf>
    <xf numFmtId="0" fontId="9" fillId="0" borderId="1" applyAlignment="1" pivotButton="0" quotePrefix="0" xfId="0">
      <alignment horizontal="center"/>
    </xf>
    <xf numFmtId="49" fontId="15" fillId="3" borderId="1" applyAlignment="1" applyProtection="1" pivotButton="0" quotePrefix="0" xfId="0">
      <alignment horizontal="center" vertical="center" wrapText="1"/>
      <protection locked="0" hidden="0"/>
    </xf>
    <xf numFmtId="0" fontId="9" fillId="0" borderId="9" applyAlignment="1" pivotButton="0" quotePrefix="0" xfId="0">
      <alignment horizontal="center"/>
    </xf>
    <xf numFmtId="0" fontId="9" fillId="7" borderId="12" pivotButton="0" quotePrefix="0" xfId="0"/>
    <xf numFmtId="0" fontId="3" fillId="6" borderId="3" applyAlignment="1" pivotButton="0" quotePrefix="0" xfId="0">
      <alignment horizontal="center" vertical="center" wrapText="1"/>
    </xf>
    <xf numFmtId="0" fontId="3" fillId="6" borderId="14" applyAlignment="1" pivotButton="0" quotePrefix="0" xfId="0">
      <alignment horizontal="center" vertical="center" wrapText="1"/>
    </xf>
    <xf numFmtId="0" fontId="2" fillId="0" borderId="22" applyAlignment="1" pivotButton="0" quotePrefix="0" xfId="0">
      <alignment horizontal="center" vertical="center"/>
    </xf>
    <xf numFmtId="0" fontId="2" fillId="0" borderId="23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166" fontId="3" fillId="0" borderId="1" applyAlignment="1" pivotButton="0" quotePrefix="0" xfId="0">
      <alignment horizontal="left"/>
    </xf>
    <xf numFmtId="0" fontId="3" fillId="3" borderId="1" applyAlignment="1" applyProtection="1" pivotButton="0" quotePrefix="0" xfId="0">
      <alignment horizontal="center" vertical="center"/>
      <protection locked="0" hidden="0"/>
    </xf>
    <xf numFmtId="0" fontId="3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left"/>
    </xf>
    <xf numFmtId="0" fontId="11" fillId="0" borderId="15" applyAlignment="1" pivotButton="0" quotePrefix="0" xfId="0">
      <alignment horizontal="center"/>
    </xf>
    <xf numFmtId="0" fontId="11" fillId="0" borderId="17" applyAlignment="1" pivotButton="0" quotePrefix="0" xfId="0">
      <alignment horizontal="center"/>
    </xf>
    <xf numFmtId="0" fontId="11" fillId="0" borderId="14" applyAlignment="1" pivotButton="0" quotePrefix="0" xfId="0">
      <alignment horizontal="center"/>
    </xf>
    <xf numFmtId="0" fontId="11" fillId="0" borderId="28" applyAlignment="1" pivotButton="0" quotePrefix="0" xfId="0">
      <alignment horizontal="center"/>
    </xf>
    <xf numFmtId="0" fontId="19" fillId="0" borderId="1" applyAlignment="1" pivotButton="0" quotePrefix="0" xfId="0">
      <alignment horizontal="left" vertical="top"/>
    </xf>
    <xf numFmtId="0" fontId="21" fillId="0" borderId="0" applyAlignment="1" pivotButton="0" quotePrefix="0" xfId="0">
      <alignment horizontal="left" vertical="center" wrapText="1"/>
    </xf>
    <xf numFmtId="0" fontId="23" fillId="0" borderId="22" applyAlignment="1" pivotButton="0" quotePrefix="0" xfId="0">
      <alignment horizontal="center" vertical="center"/>
    </xf>
    <xf numFmtId="0" fontId="23" fillId="0" borderId="23" applyAlignment="1" pivotButton="0" quotePrefix="0" xfId="0">
      <alignment horizontal="center" vertical="center"/>
    </xf>
    <xf numFmtId="0" fontId="23" fillId="0" borderId="18" applyAlignment="1" pivotButton="0" quotePrefix="0" xfId="0">
      <alignment horizontal="center" vertical="center"/>
    </xf>
    <xf numFmtId="0" fontId="0" fillId="0" borderId="45" pivotButton="0" quotePrefix="0" xfId="0"/>
    <xf numFmtId="166" fontId="3" fillId="0" borderId="1" applyAlignment="1" pivotButton="0" quotePrefix="0" xfId="0">
      <alignment horizontal="left"/>
    </xf>
    <xf numFmtId="0" fontId="0" fillId="0" borderId="46" pivotButton="0" quotePrefix="0" xfId="0"/>
    <xf numFmtId="0" fontId="0" fillId="0" borderId="40" pivotButton="0" quotePrefix="0" xfId="0"/>
    <xf numFmtId="0" fontId="0" fillId="0" borderId="42" pivotButton="0" quotePrefix="0" xfId="0"/>
    <xf numFmtId="0" fontId="23" fillId="0" borderId="3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35" pivotButton="0" quotePrefix="0" xfId="0"/>
    <xf numFmtId="0" fontId="2" fillId="0" borderId="32" applyAlignment="1" pivotButton="0" quotePrefix="0" xfId="0">
      <alignment horizontal="center" vertical="center"/>
    </xf>
    <xf numFmtId="164" fontId="9" fillId="6" borderId="6" applyAlignment="1" pivotButton="0" quotePrefix="0" xfId="0">
      <alignment horizontal="center" wrapText="1"/>
    </xf>
    <xf numFmtId="0" fontId="3" fillId="6" borderId="36" applyAlignment="1" pivotButton="0" quotePrefix="0" xfId="0">
      <alignment horizontal="center" vertical="center" wrapText="1"/>
    </xf>
    <xf numFmtId="0" fontId="0" fillId="0" borderId="14" pivotButton="0" quotePrefix="0" xfId="0"/>
    <xf numFmtId="164" fontId="9" fillId="0" borderId="6" applyAlignment="1" pivotButton="0" quotePrefix="0" xfId="0">
      <alignment horizontal="center"/>
    </xf>
    <xf numFmtId="164" fontId="9" fillId="0" borderId="26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M181"/>
  <sheetViews>
    <sheetView showGridLines="0" tabSelected="1" zoomScaleNormal="100" workbookViewId="0">
      <selection activeCell="A1" sqref="A1"/>
    </sheetView>
  </sheetViews>
  <sheetFormatPr baseColWidth="8" defaultColWidth="11.125" defaultRowHeight="15.75"/>
  <cols>
    <col width="2.375" customWidth="1" style="46" min="1" max="1"/>
    <col width="9.625" customWidth="1" style="46" min="2" max="2"/>
    <col width="38.875" customWidth="1" style="46" min="3" max="3"/>
    <col width="25.875" customWidth="1" style="46" min="4" max="4"/>
    <col width="17.625" customWidth="1" style="46" min="5" max="5"/>
    <col width="13.5" customWidth="1" style="46" min="6" max="6"/>
    <col width="5.125" customWidth="1" style="46" min="7" max="7"/>
    <col width="4.75" customWidth="1" style="32" min="8" max="8"/>
    <col width="15.125" customWidth="1" style="46" min="9" max="9"/>
    <col width="10.25" customWidth="1" style="5" min="10" max="10"/>
    <col width="4.75" customWidth="1" style="46" min="11" max="23"/>
    <col width="11.125" customWidth="1" style="46" min="24" max="16384"/>
  </cols>
  <sheetData>
    <row r="1" ht="18.75" customHeight="1" s="46">
      <c r="B1" s="113" t="inlineStr">
        <is>
          <t>2021EBN111S03</t>
        </is>
      </c>
      <c r="C1" s="123" t="n"/>
      <c r="D1" s="1" t="inlineStr">
        <is>
          <t>Student number:</t>
        </is>
      </c>
      <c r="E1" s="109" t="inlineStr">
        <is>
          <t>21495034</t>
        </is>
      </c>
      <c r="F1" s="123" t="n"/>
      <c r="G1" s="2" t="n"/>
      <c r="H1" s="3" t="n"/>
      <c r="K1" s="6" t="n"/>
      <c r="L1" s="6" t="n"/>
      <c r="M1" s="6" t="n"/>
    </row>
    <row r="2">
      <c r="B2" s="124" t="inlineStr">
        <is>
          <t>30/06/2021 17:00 AM - 30/06/2021 18:40 AM</t>
        </is>
      </c>
      <c r="C2" s="123" t="n"/>
      <c r="D2" s="1" t="inlineStr">
        <is>
          <t>Surname &amp; Initials:</t>
        </is>
      </c>
      <c r="E2" s="111" t="n"/>
      <c r="F2" s="123" t="n"/>
      <c r="G2" s="7" t="n"/>
      <c r="H2" s="3" t="n"/>
      <c r="K2" s="6" t="n"/>
      <c r="L2" s="6" t="n"/>
      <c r="M2" s="6" t="n"/>
    </row>
    <row r="3">
      <c r="B3" s="8" t="n"/>
      <c r="C3" s="8" t="n"/>
      <c r="D3" s="8" t="n"/>
      <c r="E3" s="8" t="n"/>
      <c r="F3" s="8" t="n"/>
      <c r="G3" s="8" t="n"/>
      <c r="H3" s="9" t="n"/>
      <c r="J3" s="10" t="n"/>
      <c r="K3" s="8" t="n"/>
      <c r="L3" s="8" t="n"/>
      <c r="M3" s="8" t="n"/>
    </row>
    <row r="4" ht="33.95" customHeight="1" s="46">
      <c r="B4" s="112" t="inlineStr">
        <is>
          <t>The general rules and guidelines of electronic evaluation for the Department of Electrical, Electronic and Computer Engineering applies. A copy of the document is available for download from the server.</t>
        </is>
      </c>
      <c r="C4" s="125" t="n"/>
      <c r="D4" s="125" t="n"/>
      <c r="E4" s="125" t="n"/>
      <c r="F4" s="123" t="n"/>
      <c r="G4" s="11" t="n"/>
      <c r="H4" s="9" t="n"/>
      <c r="J4" s="10" t="n"/>
      <c r="K4" s="8" t="n"/>
      <c r="L4" s="8" t="n"/>
      <c r="M4" s="8" t="n"/>
    </row>
    <row r="5">
      <c r="B5" s="12" t="n"/>
      <c r="C5" s="6" t="n"/>
      <c r="D5" s="13" t="n"/>
      <c r="E5" s="13" t="n"/>
      <c r="F5" s="6" t="n"/>
      <c r="G5" s="6" t="n"/>
      <c r="H5" s="3" t="n"/>
      <c r="K5" s="6" t="n"/>
      <c r="L5" s="6" t="n"/>
      <c r="M5" s="6" t="n"/>
    </row>
    <row r="6">
      <c r="B6" s="14" t="n"/>
      <c r="C6" s="118" t="inlineStr">
        <is>
          <t>Cells in GREEN contain given parameter values and must not be changed.</t>
        </is>
      </c>
      <c r="D6" s="123" t="n"/>
      <c r="E6" s="13" t="n"/>
      <c r="F6" s="6" t="n"/>
      <c r="G6" s="6" t="n"/>
      <c r="H6" s="3" t="n"/>
      <c r="K6" s="6" t="n"/>
      <c r="L6" s="6" t="n"/>
      <c r="M6" s="6" t="n"/>
    </row>
    <row r="7">
      <c r="B7" s="15" t="n"/>
      <c r="C7" s="118" t="inlineStr">
        <is>
          <t>Your answers are only allowed to be input in the YELLOW cells.</t>
        </is>
      </c>
      <c r="D7" s="123" t="n"/>
      <c r="E7" s="13" t="n"/>
      <c r="F7" s="6" t="n"/>
      <c r="G7" s="6" t="n"/>
      <c r="H7" s="3" t="n"/>
      <c r="L7" s="6" t="n"/>
      <c r="M7" s="6" t="n"/>
    </row>
    <row r="8">
      <c r="B8" s="16" t="n"/>
      <c r="C8" s="118" t="inlineStr">
        <is>
          <t xml:space="preserve">Cells in BLACK are the question separaters. </t>
        </is>
      </c>
      <c r="D8" s="123" t="n"/>
      <c r="E8" s="13" t="n"/>
      <c r="F8" s="6" t="n"/>
      <c r="G8" s="6" t="n"/>
      <c r="H8" s="3" t="n"/>
      <c r="L8" s="6" t="n"/>
      <c r="M8" s="6" t="n"/>
    </row>
    <row r="9">
      <c r="B9" s="17" t="n"/>
      <c r="C9" s="6" t="n"/>
      <c r="D9" s="13" t="n"/>
      <c r="E9" s="13" t="n"/>
      <c r="F9" s="6" t="n"/>
      <c r="G9" s="6" t="n"/>
      <c r="H9" s="3" t="n"/>
      <c r="L9" s="6" t="n"/>
      <c r="M9" s="6" t="n"/>
    </row>
    <row r="10" ht="27" customHeight="1" s="46">
      <c r="B10" s="119" t="inlineStr">
        <is>
          <t>Units:  For symbols such has Ω as µA you must use the corresponding codes in the list of valid units (Column I) to the right, i.e.,:  &amp;Omega; and &amp;mu;A</t>
        </is>
      </c>
      <c r="G10" s="6" t="n"/>
      <c r="H10" s="3" t="n"/>
      <c r="L10" s="6" t="n"/>
      <c r="M10" s="6" t="n"/>
    </row>
    <row r="11">
      <c r="B11" s="6" t="n"/>
      <c r="C11" s="18" t="inlineStr">
        <is>
          <t>Complex numbers:  Rectangular Form:</t>
        </is>
      </c>
      <c r="D11" s="19" t="inlineStr">
        <is>
          <t>1.23+j4.56</t>
        </is>
      </c>
      <c r="E11" s="20" t="inlineStr">
        <is>
          <t>k&amp;Omega;</t>
        </is>
      </c>
      <c r="F11" s="6" t="n"/>
      <c r="G11" s="6" t="n"/>
      <c r="H11" s="3" t="n"/>
      <c r="L11" s="6" t="n"/>
      <c r="M11" s="6" t="n"/>
    </row>
    <row r="12">
      <c r="B12" s="17" t="n"/>
      <c r="C12" s="21" t="inlineStr">
        <is>
          <t>Polar Form:</t>
        </is>
      </c>
      <c r="D12" s="19" t="inlineStr">
        <is>
          <t>1.23&amp;ang;4.56&amp;deg;</t>
        </is>
      </c>
      <c r="E12" s="20" t="inlineStr">
        <is>
          <t>mA</t>
        </is>
      </c>
      <c r="F12" s="6" t="n"/>
      <c r="G12" s="6" t="n"/>
      <c r="H12" s="3" t="n"/>
      <c r="L12" s="6" t="n"/>
      <c r="M12" s="6" t="n"/>
    </row>
    <row r="13" ht="16.5" customHeight="1" s="46" thickBot="1">
      <c r="B13" s="17" t="n"/>
      <c r="C13" s="22" t="n"/>
      <c r="D13" s="23" t="n"/>
      <c r="E13" s="13" t="n"/>
      <c r="F13" s="6" t="n"/>
      <c r="G13" s="6" t="n"/>
      <c r="H13" s="3" t="n"/>
      <c r="L13" s="6" t="n"/>
      <c r="M13" s="6" t="n"/>
    </row>
    <row r="14" ht="21" customHeight="1" s="46" thickBot="1">
      <c r="B14" s="24" t="n"/>
      <c r="C14" s="25" t="n"/>
      <c r="D14" s="114" t="inlineStr">
        <is>
          <t>Total Marks:</t>
        </is>
      </c>
      <c r="E14" s="126" t="n"/>
      <c r="F14" s="26" t="n">
        <v>46</v>
      </c>
      <c r="G14" s="25" t="n"/>
      <c r="H14" s="59" t="n"/>
      <c r="J14" s="28" t="n"/>
      <c r="L14" s="25" t="n"/>
      <c r="M14" s="25" t="n"/>
    </row>
    <row r="15" ht="21" customHeight="1" s="46" thickBot="1">
      <c r="B15" s="24" t="n"/>
      <c r="C15" s="25" t="n"/>
      <c r="D15" s="116" t="inlineStr">
        <is>
          <t>Full Marks:</t>
        </is>
      </c>
      <c r="E15" s="127" t="n"/>
      <c r="F15" s="29" t="n">
        <v>45</v>
      </c>
      <c r="G15" s="25" t="n"/>
      <c r="H15" s="59" t="n"/>
      <c r="J15" s="28" t="n"/>
    </row>
    <row r="16" ht="21" customHeight="1" s="46" thickBot="1">
      <c r="B16" s="24" t="n"/>
      <c r="C16" s="25" t="n"/>
      <c r="D16" s="30" t="n"/>
      <c r="E16" s="30" t="n"/>
      <c r="F16" s="31" t="n"/>
      <c r="G16" s="25" t="n"/>
      <c r="H16" s="59" t="n"/>
      <c r="J16" s="28" t="n"/>
    </row>
    <row r="17" ht="21.95" customHeight="1" s="46" thickBot="1">
      <c r="B17" s="128" t="inlineStr">
        <is>
          <t>Section 1</t>
        </is>
      </c>
      <c r="C17" s="129" t="n"/>
      <c r="D17" s="129" t="n"/>
      <c r="E17" s="129" t="n"/>
      <c r="F17" s="130" t="n"/>
      <c r="G17" s="25" t="n"/>
      <c r="H17" s="59" t="n"/>
      <c r="J17" s="28" t="n"/>
    </row>
    <row r="18" ht="15.75" customHeight="1" s="46" thickBot="1">
      <c r="B18" s="75" t="n"/>
      <c r="C18" s="75" t="n"/>
      <c r="D18" s="75" t="n"/>
      <c r="E18" s="75" t="n"/>
      <c r="F18" s="75" t="n"/>
      <c r="G18" s="25" t="n"/>
      <c r="H18" s="59" t="n"/>
      <c r="J18" s="28" t="n"/>
    </row>
    <row r="19" ht="19.5" customHeight="1" s="46" thickBot="1">
      <c r="B19" s="131" t="inlineStr">
        <is>
          <t>Question 1</t>
        </is>
      </c>
      <c r="C19" s="129" t="n"/>
      <c r="D19" s="129" t="n"/>
      <c r="E19" s="129" t="n"/>
      <c r="F19" s="130" t="n"/>
    </row>
    <row r="20" ht="30" customHeight="1" s="46" thickBot="1">
      <c r="B20" s="33" t="n"/>
      <c r="C20" s="34" t="inlineStr">
        <is>
          <t>Parameter / Description</t>
        </is>
      </c>
      <c r="D20" s="34" t="inlineStr">
        <is>
          <t>Numerical</t>
        </is>
      </c>
      <c r="E20" s="34" t="inlineStr">
        <is>
          <t>Units / Alphanumeric</t>
        </is>
      </c>
      <c r="F20" s="35" t="inlineStr">
        <is>
          <t>Marks</t>
        </is>
      </c>
      <c r="I20" s="36" t="inlineStr">
        <is>
          <t>List of examples of valid units</t>
        </is>
      </c>
    </row>
    <row r="21" ht="16.5" customHeight="1" s="46" thickBot="1">
      <c r="B21" s="77" t="n"/>
      <c r="C21" s="132" t="inlineStr">
        <is>
          <t>Ceq</t>
        </is>
      </c>
      <c r="D21" s="38" t="n">
        <v>5</v>
      </c>
      <c r="E21" s="39" t="inlineStr">
        <is>
          <t>&amp;mu;F</t>
        </is>
      </c>
      <c r="F21" s="40" t="n"/>
      <c r="I21" s="69" t="inlineStr">
        <is>
          <t>mV</t>
        </is>
      </c>
    </row>
    <row r="22" ht="16.5" customHeight="1" s="46" thickBot="1">
      <c r="B22" s="88" t="inlineStr">
        <is>
          <t>01</t>
        </is>
      </c>
      <c r="C22" s="42" t="inlineStr">
        <is>
          <t>C</t>
        </is>
      </c>
      <c r="D22" s="84" t="n"/>
      <c r="E22" s="84" t="n"/>
      <c r="F22" s="43" t="n">
        <v>2</v>
      </c>
      <c r="I22" s="50" t="inlineStr">
        <is>
          <t>V</t>
        </is>
      </c>
    </row>
    <row r="23" ht="16.5" customHeight="1" s="46" thickBot="1">
      <c r="E23" s="44" t="inlineStr">
        <is>
          <t>Total</t>
        </is>
      </c>
      <c r="F23" s="45">
        <f>SUM(F22:F22)</f>
        <v/>
      </c>
      <c r="I23" s="50" t="inlineStr">
        <is>
          <t>kV</t>
        </is>
      </c>
    </row>
    <row r="24">
      <c r="I24" s="50" t="inlineStr">
        <is>
          <t>&amp;mu;A</t>
        </is>
      </c>
    </row>
    <row r="25">
      <c r="B25" s="47" t="n"/>
      <c r="C25" s="48" t="n"/>
      <c r="D25" s="48" t="n"/>
      <c r="E25" s="48" t="n"/>
      <c r="F25" s="49" t="n"/>
      <c r="I25" s="50" t="inlineStr">
        <is>
          <t>mA</t>
        </is>
      </c>
      <c r="L25" s="25" t="n"/>
      <c r="M25" s="25" t="n"/>
    </row>
    <row r="26" ht="16.5" customHeight="1" s="46" thickBot="1">
      <c r="I26" s="55" t="inlineStr">
        <is>
          <t>A</t>
        </is>
      </c>
      <c r="L26" s="25" t="n"/>
      <c r="M26" s="25" t="n"/>
    </row>
    <row r="27" ht="19.5" customHeight="1" s="46" thickBot="1">
      <c r="B27" s="131" t="inlineStr">
        <is>
          <t>Questions 2 to 3</t>
        </is>
      </c>
      <c r="C27" s="129" t="n"/>
      <c r="D27" s="129" t="n"/>
      <c r="E27" s="129" t="n"/>
      <c r="F27" s="130" t="n"/>
      <c r="I27" s="50" t="inlineStr">
        <is>
          <t>m&amp;Omega;</t>
        </is>
      </c>
    </row>
    <row r="28" ht="30" customHeight="1" s="46" thickBot="1">
      <c r="B28" s="33" t="n"/>
      <c r="C28" s="34" t="inlineStr">
        <is>
          <t>Parameter / Description</t>
        </is>
      </c>
      <c r="D28" s="34" t="inlineStr">
        <is>
          <t>Numerical</t>
        </is>
      </c>
      <c r="E28" s="34" t="inlineStr">
        <is>
          <t>Units / Alphanumeric</t>
        </is>
      </c>
      <c r="F28" s="35" t="inlineStr">
        <is>
          <t>Marks</t>
        </is>
      </c>
      <c r="I28" s="50" t="inlineStr">
        <is>
          <t>&amp;Omega;</t>
        </is>
      </c>
    </row>
    <row r="29" ht="16.5" customHeight="1" s="46" thickBot="1">
      <c r="B29" s="77" t="n"/>
      <c r="C29" s="132" t="inlineStr">
        <is>
          <t>VS</t>
        </is>
      </c>
      <c r="D29" s="38" t="n">
        <v>14</v>
      </c>
      <c r="E29" s="39" t="inlineStr">
        <is>
          <t>V</t>
        </is>
      </c>
      <c r="F29" s="40" t="n"/>
      <c r="I29" s="50" t="inlineStr">
        <is>
          <t>k&amp;Omega;</t>
        </is>
      </c>
    </row>
    <row r="30">
      <c r="B30" s="76" t="inlineStr">
        <is>
          <t>02</t>
        </is>
      </c>
      <c r="C30" s="67" t="inlineStr">
        <is>
          <t>wC</t>
        </is>
      </c>
      <c r="D30" s="82" t="n"/>
      <c r="E30" s="82" t="n"/>
      <c r="F30" s="68" t="n">
        <v>2</v>
      </c>
      <c r="I30" s="50" t="inlineStr">
        <is>
          <t>M&amp;Omega;</t>
        </is>
      </c>
    </row>
    <row r="31" ht="16.5" customHeight="1" s="46" thickBot="1">
      <c r="B31" s="70" t="inlineStr">
        <is>
          <t>03</t>
        </is>
      </c>
      <c r="C31" s="71" t="inlineStr">
        <is>
          <t>wL</t>
        </is>
      </c>
      <c r="D31" s="81" t="n"/>
      <c r="E31" s="81" t="n"/>
      <c r="F31" s="72" t="n">
        <v>2</v>
      </c>
      <c r="I31" s="50" t="inlineStr">
        <is>
          <t>&amp;mu;F</t>
        </is>
      </c>
    </row>
    <row r="32" ht="16.5" customHeight="1" s="46" thickBot="1">
      <c r="E32" s="44" t="inlineStr">
        <is>
          <t>Total</t>
        </is>
      </c>
      <c r="F32" s="45">
        <f>SUM(F30:F31)</f>
        <v/>
      </c>
      <c r="I32" s="50" t="inlineStr">
        <is>
          <t>mF</t>
        </is>
      </c>
    </row>
    <row r="33">
      <c r="I33" s="50" t="inlineStr">
        <is>
          <t>F</t>
        </is>
      </c>
    </row>
    <row r="34">
      <c r="B34" s="47" t="n"/>
      <c r="C34" s="48" t="n"/>
      <c r="D34" s="48" t="n"/>
      <c r="E34" s="48" t="n"/>
      <c r="F34" s="49" t="n"/>
      <c r="I34" s="50" t="inlineStr">
        <is>
          <t>&amp;mu;H</t>
        </is>
      </c>
    </row>
    <row r="35" ht="16.5" customHeight="1" s="46" thickBot="1">
      <c r="I35" s="50" t="inlineStr">
        <is>
          <t>mH</t>
        </is>
      </c>
    </row>
    <row r="36" ht="19.5" customHeight="1" s="46" thickBot="1">
      <c r="B36" s="131" t="inlineStr">
        <is>
          <t>Questions 4 to 5</t>
        </is>
      </c>
      <c r="C36" s="129" t="n"/>
      <c r="D36" s="129" t="n"/>
      <c r="E36" s="129" t="n"/>
      <c r="F36" s="130" t="n"/>
      <c r="I36" s="50" t="inlineStr">
        <is>
          <t>H</t>
        </is>
      </c>
    </row>
    <row r="37" ht="29.25" customHeight="1" s="46" thickBot="1">
      <c r="B37" s="33" t="n"/>
      <c r="C37" s="34" t="inlineStr">
        <is>
          <t>Parameter / Description</t>
        </is>
      </c>
      <c r="D37" s="34" t="inlineStr">
        <is>
          <t>Numerical</t>
        </is>
      </c>
      <c r="E37" s="34" t="inlineStr">
        <is>
          <t>Units / Alphanumeric</t>
        </is>
      </c>
      <c r="F37" s="35" t="inlineStr">
        <is>
          <t>Marks</t>
        </is>
      </c>
      <c r="I37" s="50" t="inlineStr">
        <is>
          <t>s</t>
        </is>
      </c>
    </row>
    <row r="38">
      <c r="B38" s="133" t="n"/>
      <c r="C38" s="132" t="inlineStr">
        <is>
          <t>C</t>
        </is>
      </c>
      <c r="D38" s="38" t="n">
        <v>10</v>
      </c>
      <c r="E38" s="39" t="inlineStr">
        <is>
          <t>F</t>
        </is>
      </c>
      <c r="F38" s="40" t="n"/>
      <c r="I38" s="50" t="inlineStr">
        <is>
          <t>ms</t>
        </is>
      </c>
    </row>
    <row r="39" ht="16.5" customHeight="1" s="46" thickBot="1">
      <c r="B39" s="134" t="n"/>
      <c r="C39" s="51" t="inlineStr">
        <is>
          <t>L</t>
        </is>
      </c>
      <c r="D39" s="52" t="n">
        <v>10</v>
      </c>
      <c r="E39" s="53" t="inlineStr">
        <is>
          <t>mH</t>
        </is>
      </c>
      <c r="F39" s="54" t="n"/>
      <c r="I39" s="50" t="inlineStr">
        <is>
          <t>&amp;mu;s</t>
        </is>
      </c>
    </row>
    <row r="40">
      <c r="B40" s="61" t="inlineStr">
        <is>
          <t>04</t>
        </is>
      </c>
      <c r="C40" s="67" t="inlineStr">
        <is>
          <t>vC(t)</t>
        </is>
      </c>
      <c r="D40" s="82" t="n"/>
      <c r="E40" s="82" t="n"/>
      <c r="F40" s="68" t="n">
        <v>2</v>
      </c>
      <c r="I40" s="50" t="inlineStr">
        <is>
          <t>C</t>
        </is>
      </c>
    </row>
    <row r="41" ht="16.5" customHeight="1" s="46" thickBot="1">
      <c r="B41" s="62" t="inlineStr">
        <is>
          <t>05</t>
        </is>
      </c>
      <c r="C41" s="63" t="inlineStr">
        <is>
          <t>vL(t)</t>
        </is>
      </c>
      <c r="D41" s="83" t="n"/>
      <c r="E41" s="83" t="n"/>
      <c r="F41" s="64" t="n">
        <v>2</v>
      </c>
      <c r="I41" s="50" t="inlineStr">
        <is>
          <t>mW</t>
        </is>
      </c>
    </row>
    <row r="42" ht="16.5" customHeight="1" s="46" thickBot="1">
      <c r="E42" s="44" t="inlineStr">
        <is>
          <t>Total</t>
        </is>
      </c>
      <c r="F42" s="45">
        <f>SUM(F40,F41)</f>
        <v/>
      </c>
      <c r="I42" s="50" t="inlineStr">
        <is>
          <t>W</t>
        </is>
      </c>
    </row>
    <row r="43">
      <c r="I43" s="50" t="inlineStr">
        <is>
          <t>kW</t>
        </is>
      </c>
    </row>
    <row r="44">
      <c r="B44" s="47" t="n"/>
      <c r="C44" s="48" t="n"/>
      <c r="D44" s="48" t="n"/>
      <c r="E44" s="48" t="n"/>
      <c r="F44" s="49" t="n"/>
      <c r="I44" s="50" t="inlineStr">
        <is>
          <t>&amp;mu;J</t>
        </is>
      </c>
    </row>
    <row r="45" ht="16.5" customHeight="1" s="46" thickBot="1">
      <c r="I45" s="50" t="inlineStr">
        <is>
          <t>mJ</t>
        </is>
      </c>
    </row>
    <row r="46" ht="23.25" customHeight="1" s="46" thickBot="1">
      <c r="B46" s="128" t="inlineStr">
        <is>
          <t>Section 2</t>
        </is>
      </c>
      <c r="C46" s="129" t="n"/>
      <c r="D46" s="129" t="n"/>
      <c r="E46" s="129" t="n"/>
      <c r="F46" s="130" t="n"/>
      <c r="I46" s="50" t="inlineStr">
        <is>
          <t>J</t>
        </is>
      </c>
    </row>
    <row r="47" ht="16.5" customHeight="1" s="46" thickBot="1">
      <c r="I47" s="50" t="inlineStr">
        <is>
          <t>kJ</t>
        </is>
      </c>
      <c r="L47" s="25" t="n"/>
      <c r="M47" s="25" t="n"/>
    </row>
    <row r="48" ht="19.5" customHeight="1" s="46" thickBot="1">
      <c r="B48" s="131" t="inlineStr">
        <is>
          <t>Question 6</t>
        </is>
      </c>
      <c r="C48" s="129" t="n"/>
      <c r="D48" s="129" t="n"/>
      <c r="E48" s="129" t="n"/>
      <c r="F48" s="130" t="n"/>
      <c r="I48" s="56" t="inlineStr">
        <is>
          <t>&amp;deg;</t>
        </is>
      </c>
      <c r="L48" s="25" t="n"/>
      <c r="M48" s="25" t="n"/>
    </row>
    <row r="49" ht="29.25" customHeight="1" s="46" thickBot="1">
      <c r="B49" s="33" t="n"/>
      <c r="C49" s="34" t="inlineStr">
        <is>
          <t>Parameter / Description</t>
        </is>
      </c>
      <c r="D49" s="34" t="inlineStr">
        <is>
          <t>Numerical</t>
        </is>
      </c>
      <c r="E49" s="34" t="inlineStr">
        <is>
          <t>Units / Alphanumeric</t>
        </is>
      </c>
      <c r="F49" s="35" t="inlineStr">
        <is>
          <t>Marks</t>
        </is>
      </c>
    </row>
    <row r="50" ht="16.5" customHeight="1" s="46" thickBot="1">
      <c r="B50" s="77" t="n"/>
      <c r="C50" s="132" t="inlineStr">
        <is>
          <t>x</t>
        </is>
      </c>
      <c r="D50" s="38" t="n">
        <v>16</v>
      </c>
      <c r="E50" s="80" t="n"/>
      <c r="F50" s="40" t="n"/>
    </row>
    <row r="51" ht="16.5" customHeight="1" s="46" thickBot="1">
      <c r="B51" s="57" t="inlineStr">
        <is>
          <t>06</t>
        </is>
      </c>
      <c r="C51" s="42" t="inlineStr">
        <is>
          <t>Z</t>
        </is>
      </c>
      <c r="D51" s="84" t="n"/>
      <c r="E51" s="80" t="n"/>
      <c r="F51" s="43" t="n">
        <v>2</v>
      </c>
    </row>
    <row r="52" ht="16.5" customHeight="1" s="46" thickBot="1">
      <c r="E52" s="44" t="inlineStr">
        <is>
          <t>Total</t>
        </is>
      </c>
      <c r="F52" s="45">
        <f>SUM(F51:F51)</f>
        <v/>
      </c>
    </row>
    <row r="53"/>
    <row r="54">
      <c r="B54" s="47" t="n"/>
      <c r="C54" s="48" t="n"/>
      <c r="D54" s="48" t="n"/>
      <c r="E54" s="48" t="n"/>
      <c r="F54" s="49" t="n"/>
    </row>
    <row r="55" ht="16.5" customHeight="1" s="46" thickBot="1"/>
    <row r="56" ht="19.5" customHeight="1" s="46" thickBot="1">
      <c r="B56" s="131" t="inlineStr">
        <is>
          <t>Questions 7 to 8</t>
        </is>
      </c>
      <c r="C56" s="129" t="n"/>
      <c r="D56" s="129" t="n"/>
      <c r="E56" s="129" t="n"/>
      <c r="F56" s="130" t="n"/>
    </row>
    <row r="57" ht="29.25" customHeight="1" s="46" thickBot="1">
      <c r="B57" s="33" t="n"/>
      <c r="C57" s="34" t="inlineStr">
        <is>
          <t>Parameter / Description</t>
        </is>
      </c>
      <c r="D57" s="34" t="inlineStr">
        <is>
          <t>Numerical</t>
        </is>
      </c>
      <c r="E57" s="34" t="inlineStr">
        <is>
          <t>Units / Alphanumeric</t>
        </is>
      </c>
      <c r="F57" s="35" t="inlineStr">
        <is>
          <t>Marks</t>
        </is>
      </c>
      <c r="L57" s="25" t="n"/>
      <c r="M57" s="25" t="n"/>
    </row>
    <row r="58">
      <c r="B58" s="133" t="n"/>
      <c r="C58" s="132" t="inlineStr">
        <is>
          <t>A</t>
        </is>
      </c>
      <c r="D58" s="38" t="n">
        <v>1</v>
      </c>
      <c r="E58" s="74" t="n"/>
      <c r="F58" s="40" t="n"/>
      <c r="L58" s="25" t="n"/>
      <c r="M58" s="25" t="n"/>
    </row>
    <row r="59" ht="16.5" customHeight="1" s="46" thickBot="1">
      <c r="B59" s="134" t="n"/>
      <c r="C59" s="51" t="inlineStr">
        <is>
          <t>B</t>
        </is>
      </c>
      <c r="D59" s="52" t="n">
        <v>1</v>
      </c>
      <c r="E59" s="87" t="n"/>
      <c r="F59" s="54" t="n"/>
    </row>
    <row r="60">
      <c r="B60" s="61" t="inlineStr">
        <is>
          <t>07</t>
        </is>
      </c>
      <c r="C60" s="67" t="inlineStr">
        <is>
          <t>Choose the correct statement</t>
        </is>
      </c>
      <c r="D60" s="82" t="n"/>
      <c r="E60" s="74" t="n"/>
      <c r="F60" s="68" t="n">
        <v>2</v>
      </c>
    </row>
    <row r="61" ht="16.5" customHeight="1" s="46" thickBot="1">
      <c r="B61" s="70" t="inlineStr">
        <is>
          <t>08</t>
        </is>
      </c>
      <c r="C61" s="71" t="inlineStr">
        <is>
          <t>VT</t>
        </is>
      </c>
      <c r="D61" s="81" t="n"/>
      <c r="E61" s="87" t="n"/>
      <c r="F61" s="72" t="n">
        <v>2</v>
      </c>
    </row>
    <row r="62" ht="16.5" customHeight="1" s="46" thickBot="1">
      <c r="E62" s="44" t="inlineStr">
        <is>
          <t>Total</t>
        </is>
      </c>
      <c r="F62" s="45">
        <f>SUM(F60:F60)</f>
        <v/>
      </c>
    </row>
    <row r="63" ht="15.75" customHeight="1" s="46"/>
    <row r="64" ht="15.75" customHeight="1" s="46">
      <c r="B64" s="47" t="n"/>
      <c r="C64" s="48" t="n"/>
      <c r="D64" s="48" t="n"/>
      <c r="E64" s="48" t="n"/>
      <c r="F64" s="49" t="n"/>
      <c r="G64" s="25" t="n"/>
    </row>
    <row r="65" ht="15.75" customHeight="1" s="46" thickBot="1">
      <c r="B65" s="89" t="n"/>
      <c r="C65" s="90" t="n"/>
      <c r="D65" s="90" t="n"/>
      <c r="E65" s="90" t="n"/>
      <c r="F65" s="91" t="n"/>
      <c r="G65" s="25" t="n"/>
    </row>
    <row r="66" ht="19.5" customHeight="1" s="46" thickBot="1">
      <c r="B66" s="131" t="inlineStr">
        <is>
          <t>Question 9</t>
        </is>
      </c>
      <c r="C66" s="129" t="n"/>
      <c r="D66" s="129" t="n"/>
      <c r="E66" s="129" t="n"/>
      <c r="F66" s="130" t="n"/>
      <c r="L66" s="25" t="n"/>
      <c r="M66" s="25" t="n"/>
    </row>
    <row r="67" ht="29.25" customHeight="1" s="46" thickBot="1">
      <c r="B67" s="33" t="n"/>
      <c r="C67" s="34" t="inlineStr">
        <is>
          <t>Parameter / Description</t>
        </is>
      </c>
      <c r="D67" s="34" t="inlineStr">
        <is>
          <t>Numerical</t>
        </is>
      </c>
      <c r="E67" s="34" t="inlineStr">
        <is>
          <t>Units / Alphanumeric</t>
        </is>
      </c>
      <c r="F67" s="35" t="inlineStr">
        <is>
          <t>Marks</t>
        </is>
      </c>
    </row>
    <row r="68">
      <c r="B68" s="133" t="n"/>
      <c r="C68" s="132" t="inlineStr">
        <is>
          <t>C</t>
        </is>
      </c>
      <c r="D68" s="38" t="n">
        <v>2</v>
      </c>
      <c r="E68" s="39" t="inlineStr">
        <is>
          <t>mF</t>
        </is>
      </c>
      <c r="F68" s="40" t="n"/>
    </row>
    <row r="69" ht="16.5" customHeight="1" s="46" thickBot="1">
      <c r="B69" s="134" t="n"/>
      <c r="C69" s="51" t="inlineStr">
        <is>
          <t>L</t>
        </is>
      </c>
      <c r="D69" s="52" t="n">
        <v>200</v>
      </c>
      <c r="E69" s="78" t="inlineStr">
        <is>
          <t>mH</t>
        </is>
      </c>
      <c r="F69" s="54" t="n"/>
    </row>
    <row r="70" ht="16.5" customHeight="1" s="46" thickBot="1">
      <c r="B70" s="57" t="inlineStr">
        <is>
          <t>09</t>
        </is>
      </c>
      <c r="C70" s="42" t="inlineStr">
        <is>
          <t>Zab</t>
        </is>
      </c>
      <c r="D70" s="84" t="n"/>
      <c r="E70" s="84" t="n"/>
      <c r="F70" s="43" t="n">
        <v>2</v>
      </c>
    </row>
    <row r="71" ht="16.5" customHeight="1" s="46" thickBot="1">
      <c r="E71" s="44" t="inlineStr">
        <is>
          <t>Total</t>
        </is>
      </c>
      <c r="F71" s="45">
        <f>SUM(F70:F70)</f>
        <v/>
      </c>
    </row>
    <row r="72"/>
    <row r="73">
      <c r="B73" s="47" t="n"/>
      <c r="C73" s="48" t="n"/>
      <c r="D73" s="48" t="n"/>
      <c r="E73" s="48" t="n"/>
      <c r="F73" s="49" t="n"/>
    </row>
    <row r="74" ht="15.75" customHeight="1" s="46" thickBot="1">
      <c r="B74" s="89" t="n"/>
      <c r="C74" s="90" t="n"/>
      <c r="D74" s="90" t="n"/>
      <c r="E74" s="90" t="n"/>
      <c r="F74" s="91" t="n"/>
      <c r="G74" s="25" t="n"/>
    </row>
    <row r="75" ht="19.5" customHeight="1" s="46" thickBot="1">
      <c r="B75" s="131" t="inlineStr">
        <is>
          <t>Question 10</t>
        </is>
      </c>
      <c r="C75" s="129" t="n"/>
      <c r="D75" s="129" t="n"/>
      <c r="E75" s="129" t="n"/>
      <c r="F75" s="130" t="n"/>
      <c r="L75" s="25" t="n"/>
      <c r="M75" s="25" t="n"/>
    </row>
    <row r="76" ht="29.25" customHeight="1" s="46" thickBot="1">
      <c r="B76" s="33" t="n"/>
      <c r="C76" s="34" t="inlineStr">
        <is>
          <t>Parameter / Description</t>
        </is>
      </c>
      <c r="D76" s="34" t="inlineStr">
        <is>
          <t>Numerical</t>
        </is>
      </c>
      <c r="E76" s="34" t="inlineStr">
        <is>
          <t>Units / Alphanumeric</t>
        </is>
      </c>
      <c r="F76" s="35" t="inlineStr">
        <is>
          <t>Marks</t>
        </is>
      </c>
    </row>
    <row r="77">
      <c r="B77" s="133" t="n"/>
      <c r="C77" s="132" t="inlineStr">
        <is>
          <t>ZC</t>
        </is>
      </c>
      <c r="D77" s="38" t="inlineStr">
        <is>
          <t>-1j</t>
        </is>
      </c>
      <c r="E77" s="39" t="inlineStr">
        <is>
          <t>&amp;Omega;</t>
        </is>
      </c>
      <c r="F77" s="40" t="n"/>
    </row>
    <row r="78" ht="16.5" customHeight="1" s="46" thickBot="1">
      <c r="B78" s="134" t="n"/>
      <c r="C78" s="51" t="inlineStr">
        <is>
          <t>ZL</t>
        </is>
      </c>
      <c r="D78" s="52" t="inlineStr">
        <is>
          <t>32j</t>
        </is>
      </c>
      <c r="E78" s="78" t="inlineStr">
        <is>
          <t>&amp;Omega;</t>
        </is>
      </c>
      <c r="F78" s="54" t="n"/>
    </row>
    <row r="79" ht="16.5" customHeight="1" s="46" thickBot="1">
      <c r="B79" s="57" t="inlineStr">
        <is>
          <t>10</t>
        </is>
      </c>
      <c r="C79" s="42" t="inlineStr">
        <is>
          <t>Vo</t>
        </is>
      </c>
      <c r="D79" s="84" t="n"/>
      <c r="E79" s="84" t="n"/>
      <c r="F79" s="43" t="n">
        <v>2</v>
      </c>
    </row>
    <row r="80" ht="16.5" customHeight="1" s="46" thickBot="1">
      <c r="E80" s="44" t="inlineStr">
        <is>
          <t>Total</t>
        </is>
      </c>
      <c r="F80" s="45">
        <f>SUM(F79:F79)</f>
        <v/>
      </c>
    </row>
    <row r="81"/>
    <row r="82">
      <c r="B82" s="47" t="n"/>
      <c r="C82" s="48" t="n"/>
      <c r="D82" s="48" t="n"/>
      <c r="E82" s="48" t="n"/>
      <c r="F82" s="49" t="n"/>
    </row>
    <row r="83" ht="16.5" customHeight="1" s="46" thickBot="1"/>
    <row r="84" ht="19.5" customHeight="1" s="46" thickBot="1">
      <c r="B84" s="131" t="inlineStr">
        <is>
          <t>Questions 11 to 12</t>
        </is>
      </c>
      <c r="C84" s="129" t="n"/>
      <c r="D84" s="129" t="n"/>
      <c r="E84" s="129" t="n"/>
      <c r="F84" s="130" t="n"/>
    </row>
    <row r="85" ht="29.25" customHeight="1" s="46" thickBot="1">
      <c r="B85" s="33" t="n"/>
      <c r="C85" s="34" t="inlineStr">
        <is>
          <t>Parameter / Description</t>
        </is>
      </c>
      <c r="D85" s="34" t="inlineStr">
        <is>
          <t>Numerical</t>
        </is>
      </c>
      <c r="E85" s="34" t="inlineStr">
        <is>
          <t>Units / Alphanumeric</t>
        </is>
      </c>
      <c r="F85" s="35" t="inlineStr">
        <is>
          <t>Marks</t>
        </is>
      </c>
      <c r="L85" s="25" t="n"/>
      <c r="M85" s="25" t="n"/>
    </row>
    <row r="86">
      <c r="B86" s="133" t="n"/>
      <c r="C86" s="132" t="inlineStr">
        <is>
          <t>r</t>
        </is>
      </c>
      <c r="D86" s="38" t="n">
        <v>3</v>
      </c>
      <c r="E86" s="74" t="n"/>
      <c r="F86" s="40" t="n"/>
      <c r="L86" s="25" t="n"/>
      <c r="M86" s="25" t="n"/>
    </row>
    <row r="87" ht="16.5" customHeight="1" s="46" thickBot="1">
      <c r="B87" s="134" t="n"/>
      <c r="C87" s="51" t="inlineStr">
        <is>
          <t>beta</t>
        </is>
      </c>
      <c r="D87" s="52" t="n">
        <v>0.3</v>
      </c>
      <c r="E87" s="87" t="n"/>
      <c r="F87" s="54" t="n"/>
    </row>
    <row r="88">
      <c r="B88" s="61" t="inlineStr">
        <is>
          <t>11</t>
        </is>
      </c>
      <c r="C88" s="67" t="inlineStr">
        <is>
          <t>Io</t>
        </is>
      </c>
      <c r="D88" s="82" t="n"/>
      <c r="E88" s="82" t="n"/>
      <c r="F88" s="68" t="n">
        <v>2</v>
      </c>
    </row>
    <row r="89" ht="16.5" customHeight="1" s="46" thickBot="1">
      <c r="B89" s="70" t="inlineStr">
        <is>
          <t>12</t>
        </is>
      </c>
      <c r="C89" s="71" t="inlineStr">
        <is>
          <t>Vi</t>
        </is>
      </c>
      <c r="D89" s="81" t="n"/>
      <c r="E89" s="81" t="n"/>
      <c r="F89" s="72" t="n">
        <v>2</v>
      </c>
    </row>
    <row r="90" ht="16.5" customHeight="1" s="46" thickBot="1">
      <c r="E90" s="44" t="inlineStr">
        <is>
          <t>Total</t>
        </is>
      </c>
      <c r="F90" s="45">
        <f>SUM(F88:F88)</f>
        <v/>
      </c>
    </row>
    <row r="91" ht="15.75" customHeight="1" s="46"/>
    <row r="92" ht="15.75" customHeight="1" s="46">
      <c r="B92" s="47" t="n"/>
      <c r="C92" s="48" t="n"/>
      <c r="D92" s="48" t="n"/>
      <c r="E92" s="48" t="n"/>
      <c r="F92" s="49" t="n"/>
      <c r="G92" s="25" t="n"/>
    </row>
    <row r="93" ht="16.5" customHeight="1" s="46" thickBot="1"/>
    <row r="94" ht="19.5" customHeight="1" s="46" thickBot="1">
      <c r="B94" s="131" t="inlineStr">
        <is>
          <t>Questions 13 to 14</t>
        </is>
      </c>
      <c r="C94" s="129" t="n"/>
      <c r="D94" s="129" t="n"/>
      <c r="E94" s="129" t="n"/>
      <c r="F94" s="130" t="n"/>
    </row>
    <row r="95" ht="29.25" customHeight="1" s="46" thickBot="1">
      <c r="B95" s="33" t="n"/>
      <c r="C95" s="34" t="inlineStr">
        <is>
          <t>Parameter / Description</t>
        </is>
      </c>
      <c r="D95" s="34" t="inlineStr">
        <is>
          <t>Numerical</t>
        </is>
      </c>
      <c r="E95" s="34" t="inlineStr">
        <is>
          <t>Units / Alphanumeric</t>
        </is>
      </c>
      <c r="F95" s="35" t="inlineStr">
        <is>
          <t>Marks</t>
        </is>
      </c>
      <c r="H95" s="59" t="n"/>
      <c r="J95" s="28" t="n"/>
      <c r="L95" s="25" t="n"/>
      <c r="M95" s="25" t="n"/>
    </row>
    <row r="96">
      <c r="B96" s="133" t="n"/>
      <c r="C96" s="132" t="inlineStr">
        <is>
          <t>r</t>
        </is>
      </c>
      <c r="D96" s="38" t="n">
        <v>180</v>
      </c>
      <c r="E96" s="74" t="n"/>
      <c r="F96" s="40" t="n"/>
      <c r="L96" s="25" t="n"/>
      <c r="M96" s="25" t="n"/>
    </row>
    <row r="97" ht="16.5" customHeight="1" s="46" thickBot="1">
      <c r="B97" s="134" t="n"/>
      <c r="C97" s="51" t="inlineStr">
        <is>
          <t>ZR</t>
        </is>
      </c>
      <c r="D97" s="52" t="n">
        <v>2</v>
      </c>
      <c r="E97" s="53" t="inlineStr">
        <is>
          <t>&amp;Omega;</t>
        </is>
      </c>
      <c r="F97" s="54" t="n"/>
      <c r="H97" s="59" t="n"/>
      <c r="J97" s="28" t="n"/>
      <c r="L97" s="25" t="n"/>
      <c r="M97" s="25" t="n"/>
    </row>
    <row r="98">
      <c r="B98" s="61" t="inlineStr">
        <is>
          <t>13</t>
        </is>
      </c>
      <c r="C98" s="67" t="inlineStr">
        <is>
          <t>Vo</t>
        </is>
      </c>
      <c r="D98" s="82" t="n"/>
      <c r="E98" s="82" t="n"/>
      <c r="F98" s="68" t="n">
        <v>2</v>
      </c>
      <c r="L98" s="25" t="n"/>
      <c r="M98" s="25" t="n"/>
    </row>
    <row r="99" ht="16.5" customHeight="1" s="46" thickBot="1">
      <c r="B99" s="70" t="inlineStr">
        <is>
          <t>14</t>
        </is>
      </c>
      <c r="C99" s="71" t="inlineStr">
        <is>
          <t>I</t>
        </is>
      </c>
      <c r="D99" s="81" t="n"/>
      <c r="E99" s="81" t="n"/>
      <c r="F99" s="72" t="n">
        <v>2</v>
      </c>
      <c r="G99" s="58" t="n"/>
    </row>
    <row r="100" ht="16.5" customHeight="1" s="46" thickBot="1">
      <c r="E100" s="44" t="inlineStr">
        <is>
          <t>Total</t>
        </is>
      </c>
      <c r="F100" s="45">
        <f>SUM(F98:F99)</f>
        <v/>
      </c>
      <c r="L100" s="25" t="n"/>
      <c r="M100" s="25" t="n"/>
    </row>
    <row r="101">
      <c r="G101" s="58" t="n"/>
    </row>
    <row r="102">
      <c r="B102" s="47" t="n"/>
      <c r="C102" s="48" t="n"/>
      <c r="D102" s="48" t="n"/>
      <c r="E102" s="48" t="n"/>
      <c r="F102" s="49" t="n"/>
      <c r="L102" s="25" t="n"/>
      <c r="M102" s="60" t="n"/>
    </row>
    <row r="103" ht="16.5" customHeight="1" s="46" thickBot="1">
      <c r="L103" s="25" t="n"/>
      <c r="M103" s="60" t="n"/>
    </row>
    <row r="104" ht="23.25" customHeight="1" s="46" thickBot="1">
      <c r="B104" s="128" t="inlineStr">
        <is>
          <t>Section 3</t>
        </is>
      </c>
      <c r="C104" s="129" t="n"/>
      <c r="D104" s="129" t="n"/>
      <c r="E104" s="129" t="n"/>
      <c r="F104" s="130" t="n"/>
      <c r="M104" s="25" t="n"/>
    </row>
    <row r="105" ht="16.5" customHeight="1" s="46" thickBot="1">
      <c r="J105" s="28" t="n"/>
      <c r="M105" s="25" t="n"/>
    </row>
    <row r="106" ht="19.5" customHeight="1" s="46" thickBot="1">
      <c r="B106" s="131" t="inlineStr">
        <is>
          <t>Question 15</t>
        </is>
      </c>
      <c r="C106" s="129" t="n"/>
      <c r="D106" s="129" t="n"/>
      <c r="E106" s="129" t="n"/>
      <c r="F106" s="130" t="n"/>
      <c r="L106" s="25" t="n"/>
      <c r="M106" s="25" t="n"/>
    </row>
    <row r="107" ht="29.25" customHeight="1" s="46" thickBot="1">
      <c r="B107" s="33" t="n"/>
      <c r="C107" s="34" t="inlineStr">
        <is>
          <t>Parameter / Description</t>
        </is>
      </c>
      <c r="D107" s="34" t="inlineStr">
        <is>
          <t>Numerical</t>
        </is>
      </c>
      <c r="E107" s="34" t="inlineStr">
        <is>
          <t>Units / Alphanumeric</t>
        </is>
      </c>
      <c r="F107" s="35" t="inlineStr">
        <is>
          <t>Marks</t>
        </is>
      </c>
      <c r="L107" s="25" t="n"/>
      <c r="M107" s="25" t="n"/>
    </row>
    <row r="108">
      <c r="B108" s="133" t="n"/>
      <c r="C108" s="132" t="inlineStr">
        <is>
          <t>ZR</t>
        </is>
      </c>
      <c r="D108" s="38" t="n">
        <v>2</v>
      </c>
      <c r="E108" s="73" t="inlineStr">
        <is>
          <t>&amp;Omega;</t>
        </is>
      </c>
      <c r="F108" s="40" t="n"/>
      <c r="L108" s="25" t="n"/>
      <c r="M108" s="25" t="n"/>
    </row>
    <row r="109" ht="16.5" customHeight="1" s="46" thickBot="1">
      <c r="B109" s="134" t="n"/>
      <c r="C109" s="92" t="inlineStr">
        <is>
          <t>ZC</t>
        </is>
      </c>
      <c r="D109" s="93" t="inlineStr">
        <is>
          <t>-16j</t>
        </is>
      </c>
      <c r="E109" s="94" t="inlineStr">
        <is>
          <t>&amp;Omega;</t>
        </is>
      </c>
      <c r="F109" s="95" t="n"/>
      <c r="L109" s="25" t="n"/>
      <c r="M109" s="25" t="n"/>
    </row>
    <row r="110" ht="16.5" customHeight="1" s="46" thickBot="1">
      <c r="B110" s="57" t="inlineStr">
        <is>
          <t>15</t>
        </is>
      </c>
      <c r="C110" s="71" t="inlineStr">
        <is>
          <t>Vs</t>
        </is>
      </c>
      <c r="D110" s="81" t="n"/>
      <c r="E110" s="81" t="n"/>
      <c r="F110" s="72" t="n">
        <v>2</v>
      </c>
      <c r="L110" s="25" t="n"/>
      <c r="M110" s="25" t="n"/>
    </row>
    <row r="111" ht="16.5" customHeight="1" s="46" thickBot="1">
      <c r="E111" s="44" t="inlineStr">
        <is>
          <t>Total</t>
        </is>
      </c>
      <c r="F111" s="45">
        <f>SUM(F110:F110)</f>
        <v/>
      </c>
      <c r="L111" s="25" t="n"/>
      <c r="M111" s="25" t="n"/>
    </row>
    <row r="112">
      <c r="L112" s="25" t="n"/>
      <c r="M112" s="25" t="n"/>
    </row>
    <row r="113">
      <c r="B113" s="47" t="n"/>
      <c r="C113" s="48" t="n"/>
      <c r="D113" s="48" t="n"/>
      <c r="E113" s="48" t="n"/>
      <c r="F113" s="49" t="n"/>
      <c r="L113" s="25" t="n"/>
      <c r="M113" s="25" t="n"/>
    </row>
    <row r="114" ht="16.5" customHeight="1" s="46" thickBot="1">
      <c r="L114" s="25" t="n"/>
      <c r="M114" s="25" t="n"/>
    </row>
    <row r="115" ht="19.5" customHeight="1" s="46" thickBot="1">
      <c r="B115" s="131" t="inlineStr">
        <is>
          <t>Questions 16 to 19</t>
        </is>
      </c>
      <c r="C115" s="129" t="n"/>
      <c r="D115" s="129" t="n"/>
      <c r="E115" s="129" t="n"/>
      <c r="F115" s="130" t="n"/>
      <c r="L115" s="25" t="n"/>
      <c r="M115" s="65" t="n"/>
    </row>
    <row r="116" ht="29.25" customHeight="1" s="46" thickBot="1">
      <c r="B116" s="33" t="n"/>
      <c r="C116" s="34" t="inlineStr">
        <is>
          <t>Parameter / Description</t>
        </is>
      </c>
      <c r="D116" s="34" t="inlineStr">
        <is>
          <t>Numerical</t>
        </is>
      </c>
      <c r="E116" s="34" t="inlineStr">
        <is>
          <t>Units / Alphanumeric</t>
        </is>
      </c>
      <c r="F116" s="35" t="inlineStr">
        <is>
          <t>Marks</t>
        </is>
      </c>
      <c r="J116" s="28" t="n"/>
      <c r="L116" s="25" t="n"/>
      <c r="M116" s="25" t="n"/>
    </row>
    <row r="117">
      <c r="B117" s="133" t="n"/>
      <c r="C117" s="132" t="inlineStr">
        <is>
          <t>ZR</t>
        </is>
      </c>
      <c r="D117" s="38" t="n">
        <v>4</v>
      </c>
      <c r="E117" s="73" t="inlineStr">
        <is>
          <t>&amp;Omega;</t>
        </is>
      </c>
      <c r="F117" s="40" t="n"/>
      <c r="J117" s="28" t="n"/>
      <c r="L117" s="66" t="n"/>
      <c r="M117" s="25" t="n"/>
    </row>
    <row r="118" ht="16.5" customHeight="1" s="46" thickBot="1">
      <c r="B118" s="134" t="n"/>
      <c r="C118" s="92" t="inlineStr">
        <is>
          <t>ZL</t>
        </is>
      </c>
      <c r="D118" s="93" t="inlineStr">
        <is>
          <t>8j</t>
        </is>
      </c>
      <c r="E118" s="94" t="inlineStr">
        <is>
          <t>&amp;Omega;</t>
        </is>
      </c>
      <c r="F118" s="95" t="n"/>
      <c r="J118" s="28" t="n"/>
      <c r="L118" s="25" t="n"/>
      <c r="M118" s="25" t="n"/>
    </row>
    <row r="119">
      <c r="B119" s="61" t="inlineStr">
        <is>
          <t>16</t>
        </is>
      </c>
      <c r="C119" s="135" t="inlineStr">
        <is>
          <t>a</t>
        </is>
      </c>
      <c r="D119" s="82" t="n"/>
      <c r="E119" s="74" t="n"/>
      <c r="F119" s="68" t="n">
        <v>1</v>
      </c>
      <c r="L119" s="25" t="n"/>
      <c r="M119" s="25" t="n"/>
    </row>
    <row r="120">
      <c r="B120" s="99" t="inlineStr">
        <is>
          <t>17</t>
        </is>
      </c>
      <c r="C120" s="100" t="inlineStr">
        <is>
          <t>b</t>
        </is>
      </c>
      <c r="D120" s="101" t="n"/>
      <c r="E120" s="16" t="n"/>
      <c r="F120" s="102" t="n">
        <v>1</v>
      </c>
      <c r="K120" s="25" t="n"/>
    </row>
    <row r="121">
      <c r="B121" s="96" t="inlineStr">
        <is>
          <t>18</t>
        </is>
      </c>
      <c r="C121" s="136" t="inlineStr">
        <is>
          <t>c</t>
        </is>
      </c>
      <c r="D121" s="85" t="n"/>
      <c r="E121" s="16" t="n"/>
      <c r="F121" s="98" t="n">
        <v>1</v>
      </c>
      <c r="L121" s="25" t="n"/>
      <c r="M121" s="25" t="n"/>
    </row>
    <row r="122" ht="16.5" customHeight="1" s="46" thickBot="1">
      <c r="B122" s="70" t="inlineStr">
        <is>
          <t>19</t>
        </is>
      </c>
      <c r="C122" s="71" t="inlineStr">
        <is>
          <t>d</t>
        </is>
      </c>
      <c r="D122" s="81" t="n"/>
      <c r="E122" s="103" t="n"/>
      <c r="F122" s="72" t="n">
        <v>1</v>
      </c>
      <c r="K122" s="25" t="n"/>
    </row>
    <row r="123" ht="16.5" customHeight="1" s="46" thickBot="1">
      <c r="E123" s="44" t="inlineStr">
        <is>
          <t>Total</t>
        </is>
      </c>
      <c r="F123" s="45">
        <f>SUM(F119:F122)</f>
        <v/>
      </c>
      <c r="K123" s="25" t="n"/>
    </row>
    <row r="124">
      <c r="K124" s="25" t="n"/>
    </row>
    <row r="125">
      <c r="B125" s="47" t="n"/>
      <c r="C125" s="48" t="n"/>
      <c r="D125" s="48" t="n"/>
      <c r="E125" s="48" t="n"/>
      <c r="F125" s="49" t="n"/>
      <c r="L125" s="25" t="n"/>
    </row>
    <row r="126" ht="16.5" customHeight="1" s="46" thickBot="1">
      <c r="M126" s="25" t="n"/>
    </row>
    <row r="127" ht="19.5" customHeight="1" s="46" thickBot="1">
      <c r="B127" s="131" t="inlineStr">
        <is>
          <t>Questions 20 to 22</t>
        </is>
      </c>
      <c r="C127" s="129" t="n"/>
      <c r="D127" s="129" t="n"/>
      <c r="E127" s="129" t="n"/>
      <c r="F127" s="130" t="n"/>
      <c r="L127" s="25" t="n"/>
      <c r="M127" s="25" t="n"/>
    </row>
    <row r="128" ht="29.25" customHeight="1" s="46" thickBot="1">
      <c r="B128" s="33" t="n"/>
      <c r="C128" s="34" t="inlineStr">
        <is>
          <t>Parameter / Description</t>
        </is>
      </c>
      <c r="D128" s="34" t="inlineStr">
        <is>
          <t>Numerical</t>
        </is>
      </c>
      <c r="E128" s="34" t="inlineStr">
        <is>
          <t>Units / Alphanumeric</t>
        </is>
      </c>
      <c r="F128" s="35" t="inlineStr">
        <is>
          <t>Marks</t>
        </is>
      </c>
      <c r="L128" s="25" t="n"/>
      <c r="M128" s="25" t="n"/>
    </row>
    <row r="129">
      <c r="B129" s="133" t="n"/>
      <c r="C129" s="132" t="inlineStr">
        <is>
          <t>ZR</t>
        </is>
      </c>
      <c r="D129" s="38" t="n">
        <v>1</v>
      </c>
      <c r="E129" s="73" t="inlineStr">
        <is>
          <t>&amp;Omega;</t>
        </is>
      </c>
      <c r="F129" s="40" t="n"/>
      <c r="L129" s="25" t="n"/>
      <c r="M129" s="25" t="n"/>
    </row>
    <row r="130" ht="16.5" customHeight="1" s="46" thickBot="1">
      <c r="B130" s="134" t="n"/>
      <c r="C130" s="92" t="inlineStr">
        <is>
          <t>ZC</t>
        </is>
      </c>
      <c r="D130" s="93" t="inlineStr">
        <is>
          <t>-50j</t>
        </is>
      </c>
      <c r="E130" s="94" t="inlineStr">
        <is>
          <t>&amp;Omega;</t>
        </is>
      </c>
      <c r="F130" s="95" t="n"/>
      <c r="L130" s="25" t="n"/>
      <c r="M130" s="25" t="n"/>
    </row>
    <row r="131">
      <c r="B131" s="61" t="inlineStr">
        <is>
          <t>20</t>
        </is>
      </c>
      <c r="C131" s="67" t="inlineStr">
        <is>
          <t>Z1</t>
        </is>
      </c>
      <c r="D131" s="82" t="n"/>
      <c r="E131" s="82" t="n"/>
      <c r="F131" s="68" t="n">
        <v>1</v>
      </c>
      <c r="L131" s="25" t="n"/>
      <c r="M131" s="25" t="n"/>
    </row>
    <row r="132">
      <c r="B132" s="99" t="inlineStr">
        <is>
          <t>21</t>
        </is>
      </c>
      <c r="C132" s="100" t="inlineStr">
        <is>
          <t>Z2</t>
        </is>
      </c>
      <c r="D132" s="101" t="n"/>
      <c r="E132" s="101" t="n"/>
      <c r="F132" s="102" t="n">
        <v>1</v>
      </c>
      <c r="L132" s="25" t="n"/>
      <c r="M132" s="25" t="n"/>
    </row>
    <row r="133" ht="16.5" customHeight="1" s="46" thickBot="1">
      <c r="B133" s="62" t="inlineStr">
        <is>
          <t>22</t>
        </is>
      </c>
      <c r="C133" s="63" t="inlineStr">
        <is>
          <t>k</t>
        </is>
      </c>
      <c r="D133" s="83" t="n"/>
      <c r="E133" s="103" t="n"/>
      <c r="F133" s="64" t="n">
        <v>2</v>
      </c>
      <c r="L133" s="25" t="n"/>
      <c r="M133" s="25" t="n"/>
    </row>
    <row r="134" ht="16.5" customHeight="1" s="46" thickBot="1">
      <c r="E134" s="44" t="inlineStr">
        <is>
          <t>Total</t>
        </is>
      </c>
      <c r="F134" s="45">
        <f>SUM(F131:F133)</f>
        <v/>
      </c>
      <c r="L134" s="25" t="n"/>
      <c r="M134" s="25" t="n"/>
    </row>
    <row r="135">
      <c r="E135" s="86" t="n"/>
      <c r="F135" s="30" t="n"/>
      <c r="L135" s="25" t="n"/>
      <c r="M135" s="25" t="n"/>
    </row>
    <row r="136">
      <c r="B136" s="47" t="n"/>
      <c r="C136" s="48" t="n"/>
      <c r="D136" s="48" t="n"/>
      <c r="E136" s="48" t="n"/>
      <c r="F136" s="49" t="n"/>
      <c r="K136" s="25" t="n"/>
    </row>
    <row r="137" ht="16.5" customHeight="1" s="46" thickBot="1">
      <c r="K137" s="25" t="n"/>
    </row>
    <row r="138" ht="19.5" customHeight="1" s="46" thickBot="1">
      <c r="B138" s="131" t="inlineStr">
        <is>
          <t>Question 23</t>
        </is>
      </c>
      <c r="C138" s="129" t="n"/>
      <c r="D138" s="129" t="n"/>
      <c r="E138" s="129" t="n"/>
      <c r="F138" s="130" t="n"/>
      <c r="L138" s="25" t="n"/>
      <c r="M138" s="25" t="n"/>
    </row>
    <row r="139" ht="29.25" customHeight="1" s="46" thickBot="1">
      <c r="B139" s="33" t="n"/>
      <c r="C139" s="34" t="inlineStr">
        <is>
          <t>Parameter / Description</t>
        </is>
      </c>
      <c r="D139" s="34" t="inlineStr">
        <is>
          <t>Numerical</t>
        </is>
      </c>
      <c r="E139" s="34" t="inlineStr">
        <is>
          <t>Units / Alphanumeric</t>
        </is>
      </c>
      <c r="F139" s="35" t="inlineStr">
        <is>
          <t>Marks</t>
        </is>
      </c>
      <c r="L139" s="25" t="n"/>
      <c r="M139" s="25" t="n"/>
    </row>
    <row r="140">
      <c r="B140" s="133" t="n"/>
      <c r="C140" s="132" t="inlineStr">
        <is>
          <t>ZR</t>
        </is>
      </c>
      <c r="D140" s="38" t="n">
        <v>10</v>
      </c>
      <c r="E140" s="73" t="inlineStr">
        <is>
          <t>&amp;Omega;</t>
        </is>
      </c>
      <c r="F140" s="40" t="n"/>
      <c r="L140" s="25" t="n"/>
      <c r="M140" s="25" t="n"/>
    </row>
    <row r="141" ht="16.5" customHeight="1" s="46" thickBot="1">
      <c r="B141" s="134" t="n"/>
      <c r="C141" s="92" t="inlineStr">
        <is>
          <t>ZC</t>
        </is>
      </c>
      <c r="D141" s="93" t="inlineStr">
        <is>
          <t>-2j</t>
        </is>
      </c>
      <c r="E141" s="94" t="inlineStr">
        <is>
          <t>&amp;Omega;</t>
        </is>
      </c>
      <c r="F141" s="95" t="n"/>
      <c r="L141" s="25" t="n"/>
      <c r="M141" s="25" t="n"/>
    </row>
    <row r="142" ht="16.5" customHeight="1" s="46" thickBot="1">
      <c r="B142" s="57" t="inlineStr">
        <is>
          <t>23</t>
        </is>
      </c>
      <c r="C142" s="42" t="inlineStr">
        <is>
          <t>Io(V)</t>
        </is>
      </c>
      <c r="D142" s="84" t="n"/>
      <c r="E142" s="84" t="n"/>
      <c r="F142" s="43" t="n">
        <v>2</v>
      </c>
      <c r="L142" s="25" t="n"/>
      <c r="M142" s="25" t="n"/>
    </row>
    <row r="143" ht="16.5" customHeight="1" s="46" thickBot="1">
      <c r="E143" s="44" t="inlineStr">
        <is>
          <t>Total</t>
        </is>
      </c>
      <c r="F143" s="45">
        <f>SUM(F142:F142)</f>
        <v/>
      </c>
      <c r="L143" s="25" t="n"/>
      <c r="M143" s="25" t="n"/>
    </row>
    <row r="144">
      <c r="E144" s="86" t="n"/>
      <c r="F144" s="30" t="n"/>
      <c r="L144" s="25" t="n"/>
      <c r="M144" s="25" t="n"/>
    </row>
    <row r="145">
      <c r="B145" s="47" t="n"/>
      <c r="C145" s="48" t="n"/>
      <c r="D145" s="48" t="n"/>
      <c r="E145" s="48" t="n"/>
      <c r="F145" s="49" t="n"/>
      <c r="K145" s="25" t="n"/>
    </row>
    <row r="146" ht="16.5" customHeight="1" s="46" thickBot="1">
      <c r="K146" s="25" t="n"/>
    </row>
    <row r="147" ht="19.5" customHeight="1" s="46" thickBot="1">
      <c r="B147" s="131" t="inlineStr">
        <is>
          <t>Question 24</t>
        </is>
      </c>
      <c r="C147" s="129" t="n"/>
      <c r="D147" s="129" t="n"/>
      <c r="E147" s="129" t="n"/>
      <c r="F147" s="130" t="n"/>
      <c r="L147" s="25" t="n"/>
      <c r="M147" s="25" t="n"/>
    </row>
    <row r="148" ht="29.25" customHeight="1" s="46" thickBot="1">
      <c r="B148" s="33" t="n"/>
      <c r="C148" s="34" t="inlineStr">
        <is>
          <t>Parameter / Description</t>
        </is>
      </c>
      <c r="D148" s="34" t="inlineStr">
        <is>
          <t>Numerical</t>
        </is>
      </c>
      <c r="E148" s="34" t="inlineStr">
        <is>
          <t>Units / Alphanumeric</t>
        </is>
      </c>
      <c r="F148" s="35" t="inlineStr">
        <is>
          <t>Marks</t>
        </is>
      </c>
      <c r="L148" s="25" t="n"/>
      <c r="M148" s="25" t="n"/>
    </row>
    <row r="149">
      <c r="B149" s="133" t="n"/>
      <c r="C149" s="132" t="inlineStr">
        <is>
          <t>ZR</t>
        </is>
      </c>
      <c r="D149" s="38" t="n">
        <v>3</v>
      </c>
      <c r="E149" s="73" t="inlineStr">
        <is>
          <t>&amp;Omega;</t>
        </is>
      </c>
      <c r="F149" s="40" t="n"/>
      <c r="L149" s="25" t="n"/>
      <c r="M149" s="25" t="n"/>
    </row>
    <row r="150" ht="16.5" customHeight="1" s="46" thickBot="1">
      <c r="B150" s="134" t="n"/>
      <c r="C150" s="92" t="inlineStr">
        <is>
          <t>ZL</t>
        </is>
      </c>
      <c r="D150" s="93" t="inlineStr">
        <is>
          <t>18j</t>
        </is>
      </c>
      <c r="E150" s="94" t="inlineStr">
        <is>
          <t>&amp;Omega;</t>
        </is>
      </c>
      <c r="F150" s="95" t="n"/>
      <c r="L150" s="25" t="n"/>
      <c r="M150" s="25" t="n"/>
    </row>
    <row r="151" ht="16.5" customHeight="1" s="46" thickBot="1">
      <c r="B151" s="57" t="inlineStr">
        <is>
          <t>24</t>
        </is>
      </c>
      <c r="C151" s="42" t="inlineStr">
        <is>
          <t>ZN</t>
        </is>
      </c>
      <c r="D151" s="84" t="n"/>
      <c r="E151" s="84" t="n"/>
      <c r="F151" s="43" t="n">
        <v>2</v>
      </c>
      <c r="L151" s="25" t="n"/>
      <c r="M151" s="25" t="n"/>
    </row>
    <row r="152" ht="16.5" customHeight="1" s="46" thickBot="1">
      <c r="E152" s="44" t="inlineStr">
        <is>
          <t>Total</t>
        </is>
      </c>
      <c r="F152" s="45">
        <f>SUM(F151:F151)</f>
        <v/>
      </c>
      <c r="L152" s="25" t="n"/>
      <c r="M152" s="25" t="n"/>
    </row>
    <row r="153">
      <c r="L153" s="25" t="n"/>
      <c r="M153" s="25" t="n"/>
    </row>
    <row r="154">
      <c r="B154" s="47" t="n"/>
      <c r="C154" s="48" t="n"/>
      <c r="D154" s="48" t="n"/>
      <c r="E154" s="48" t="n"/>
      <c r="F154" s="49" t="n"/>
      <c r="L154" s="25" t="n"/>
      <c r="M154" s="25" t="n"/>
    </row>
    <row r="155" ht="16.5" customHeight="1" s="46" thickBot="1">
      <c r="M155" s="25" t="n"/>
    </row>
    <row r="156" ht="19.5" customHeight="1" s="46" thickBot="1">
      <c r="B156" s="131" t="inlineStr">
        <is>
          <t>Questions 25 to 26</t>
        </is>
      </c>
      <c r="C156" s="129" t="n"/>
      <c r="D156" s="129" t="n"/>
      <c r="E156" s="129" t="n"/>
      <c r="F156" s="130" t="n"/>
      <c r="L156" s="25" t="n"/>
      <c r="M156" s="25" t="n"/>
    </row>
    <row r="157" ht="29.25" customHeight="1" s="46" thickBot="1">
      <c r="B157" s="33" t="n"/>
      <c r="C157" s="34" t="inlineStr">
        <is>
          <t>Parameter / Description</t>
        </is>
      </c>
      <c r="D157" s="34" t="inlineStr">
        <is>
          <t>Numerical</t>
        </is>
      </c>
      <c r="E157" s="34" t="inlineStr">
        <is>
          <t>Units / Alphanumeric</t>
        </is>
      </c>
      <c r="F157" s="35" t="inlineStr">
        <is>
          <t>Marks</t>
        </is>
      </c>
      <c r="L157" s="25" t="n"/>
      <c r="M157" s="25" t="n"/>
    </row>
    <row r="158">
      <c r="B158" s="133" t="n"/>
      <c r="C158" s="132" t="inlineStr">
        <is>
          <t>ZL</t>
        </is>
      </c>
      <c r="D158" s="38" t="inlineStr">
        <is>
          <t>40j</t>
        </is>
      </c>
      <c r="E158" s="73" t="inlineStr">
        <is>
          <t>&amp;Omega;</t>
        </is>
      </c>
      <c r="F158" s="40" t="n"/>
      <c r="L158" s="25" t="n"/>
      <c r="M158" s="25" t="n"/>
    </row>
    <row r="159" ht="16.5" customHeight="1" s="46" thickBot="1">
      <c r="B159" s="134" t="n"/>
      <c r="C159" s="92" t="inlineStr">
        <is>
          <t>ZC</t>
        </is>
      </c>
      <c r="D159" s="93" t="inlineStr">
        <is>
          <t>-4j</t>
        </is>
      </c>
      <c r="E159" s="94" t="inlineStr">
        <is>
          <t>&amp;Omega;</t>
        </is>
      </c>
      <c r="F159" s="95" t="n"/>
      <c r="L159" s="25" t="n"/>
      <c r="M159" s="25" t="n"/>
    </row>
    <row r="160">
      <c r="B160" s="61" t="inlineStr">
        <is>
          <t>25</t>
        </is>
      </c>
      <c r="C160" s="67" t="inlineStr">
        <is>
          <t>VTh</t>
        </is>
      </c>
      <c r="D160" s="82" t="n"/>
      <c r="E160" s="82" t="n"/>
      <c r="F160" s="68" t="n">
        <v>2</v>
      </c>
      <c r="L160" s="25" t="n"/>
      <c r="M160" s="25" t="n"/>
    </row>
    <row r="161" ht="16.5" customHeight="1" s="46" thickBot="1">
      <c r="B161" s="70" t="inlineStr">
        <is>
          <t>26</t>
        </is>
      </c>
      <c r="C161" s="71" t="inlineStr">
        <is>
          <t>ZTh</t>
        </is>
      </c>
      <c r="D161" s="81" t="n"/>
      <c r="E161" s="81" t="n"/>
      <c r="F161" s="72" t="n">
        <v>2</v>
      </c>
      <c r="L161" s="25" t="n"/>
      <c r="M161" s="25" t="n"/>
    </row>
    <row r="162" ht="16.5" customHeight="1" s="46" thickBot="1">
      <c r="E162" s="44" t="inlineStr">
        <is>
          <t>Total</t>
        </is>
      </c>
      <c r="F162" s="45">
        <f>SUM(F160:F161)</f>
        <v/>
      </c>
      <c r="L162" s="25" t="n"/>
      <c r="M162" s="25" t="n"/>
    </row>
    <row r="163">
      <c r="L163" s="25" t="n"/>
      <c r="M163" s="25" t="n"/>
    </row>
    <row r="164">
      <c r="B164" s="47" t="n"/>
      <c r="C164" s="48" t="n"/>
      <c r="D164" s="48" t="n"/>
      <c r="E164" s="48" t="n"/>
      <c r="F164" s="49" t="n"/>
      <c r="L164" s="25" t="n"/>
      <c r="M164" s="25" t="n"/>
    </row>
    <row r="165">
      <c r="J165" s="28" t="n"/>
      <c r="L165" s="66" t="n"/>
      <c r="M165" s="25" t="n"/>
    </row>
    <row r="166">
      <c r="L166" s="25" t="n"/>
      <c r="M166" s="25" t="n"/>
    </row>
    <row r="167">
      <c r="L167" s="25" t="n"/>
      <c r="M167" s="25" t="n"/>
    </row>
    <row r="168">
      <c r="K168" s="25" t="n"/>
    </row>
    <row r="169">
      <c r="K169" s="25" t="n"/>
    </row>
    <row r="170">
      <c r="L170" s="25" t="n"/>
    </row>
    <row r="171">
      <c r="M171" s="25" t="n"/>
    </row>
    <row r="172"/>
    <row r="173">
      <c r="J173" s="28" t="n"/>
      <c r="L173" s="25" t="n"/>
      <c r="M173" s="25" t="n"/>
    </row>
    <row r="174">
      <c r="J174" s="28" t="n"/>
      <c r="L174" s="66" t="n"/>
      <c r="M174" s="25" t="n"/>
    </row>
    <row r="175">
      <c r="L175" s="25" t="n"/>
      <c r="M175" s="25" t="n"/>
    </row>
    <row r="176">
      <c r="L176" s="25" t="n"/>
      <c r="M176" s="25" t="n"/>
    </row>
    <row r="177">
      <c r="K177" s="25" t="n"/>
    </row>
    <row r="178">
      <c r="K178" s="25" t="n"/>
    </row>
    <row r="179">
      <c r="L179" s="25" t="n"/>
    </row>
    <row r="180">
      <c r="L180" s="25" t="n"/>
    </row>
    <row r="181">
      <c r="M181" s="2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41">
    <mergeCell ref="B156:F156"/>
    <mergeCell ref="B75:F75"/>
    <mergeCell ref="B77:B78"/>
    <mergeCell ref="B84:F84"/>
    <mergeCell ref="B86:B87"/>
    <mergeCell ref="B96:B97"/>
    <mergeCell ref="B104:F104"/>
    <mergeCell ref="B108:B109"/>
    <mergeCell ref="B117:B118"/>
    <mergeCell ref="B129:B130"/>
    <mergeCell ref="B140:B141"/>
    <mergeCell ref="B149:B150"/>
    <mergeCell ref="B147:F147"/>
    <mergeCell ref="B115:F115"/>
    <mergeCell ref="B158:B159"/>
    <mergeCell ref="D14:E14"/>
    <mergeCell ref="D15:E15"/>
    <mergeCell ref="C6:D6"/>
    <mergeCell ref="C7:D7"/>
    <mergeCell ref="C8:D8"/>
    <mergeCell ref="B10:F10"/>
    <mergeCell ref="B17:F17"/>
    <mergeCell ref="B46:F46"/>
    <mergeCell ref="B127:F127"/>
    <mergeCell ref="B27:F27"/>
    <mergeCell ref="B19:F19"/>
    <mergeCell ref="B56:F56"/>
    <mergeCell ref="B48:F48"/>
    <mergeCell ref="B36:F36"/>
    <mergeCell ref="B138:F138"/>
    <mergeCell ref="E1:F1"/>
    <mergeCell ref="B2:C2"/>
    <mergeCell ref="E2:F2"/>
    <mergeCell ref="B4:F4"/>
    <mergeCell ref="B1:C1"/>
    <mergeCell ref="B38:B39"/>
    <mergeCell ref="B58:B59"/>
    <mergeCell ref="B66:F66"/>
    <mergeCell ref="B68:B69"/>
    <mergeCell ref="B106:F106"/>
    <mergeCell ref="B94:F94"/>
  </mergeCells>
  <dataValidations count="2">
    <dataValidation sqref="E22 E30 E31 E40 E41 E70 E79 E88 E89 E98 E99 E110 E131 E132 E142 E151 E160 E161" showErrorMessage="1" showInputMessage="1" allowBlank="0" errorTitle="Unit Not Valid" error="The selected unit is not valid, please select a valid unit from the list." type="list">
      <formula1>$I$21:$I$48</formula1>
    </dataValidation>
    <dataValidation sqref="D60" showErrorMessage="1" showInputMessage="1" allowBlank="0" errorTitle="Value Not Valid" error="Please select the correct statement by entering the number (1, 2, 3, 4 or 5) only." type="list">
      <formula1>"1, 2, 3, 4, 5"</formula1>
    </dataValidation>
  </dataValidations>
  <pageMargins left="0.708333333333333" right="0.708333333333333" top="0.747916666666667" bottom="0.747916666666667" header="0.511805555555555" footer="0.511805555555555"/>
  <pageSetup orientation="portrait" paperSize="9" firstPageNumber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 Grobler</dc:creator>
  <dc:language>en-ZA</dc:language>
  <dcterms:created xsi:type="dcterms:W3CDTF">2018-04-10T11:33:09Z</dcterms:created>
  <dcterms:modified xsi:type="dcterms:W3CDTF">2021-06-24T12:41:00Z</dcterms:modified>
  <cp:lastModifiedBy>Danie Wepener</cp:lastModifiedBy>
  <cp:revision>42</cp:revision>
</cp:coreProperties>
</file>