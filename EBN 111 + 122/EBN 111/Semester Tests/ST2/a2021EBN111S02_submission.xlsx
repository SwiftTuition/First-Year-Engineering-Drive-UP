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de48070aa831da/Desktop/EBN 111/Semester tests/2/"/>
    </mc:Choice>
  </mc:AlternateContent>
  <xr:revisionPtr revIDLastSave="42" documentId="11_E19DAAF633EC10298785EF7427038214F5702B9E" xr6:coauthVersionLast="47" xr6:coauthVersionMax="47" xr10:uidLastSave="{C6C100B5-E6DD-4E04-860C-CC180B3F982A}"/>
  <bookViews>
    <workbookView xWindow="-110" yWindow="-110" windowWidth="19420" windowHeight="1102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6" i="1" l="1"/>
  <c r="F166" i="1"/>
  <c r="F157" i="1"/>
  <c r="F147" i="1"/>
  <c r="F136" i="1"/>
  <c r="F126" i="1"/>
  <c r="F116" i="1"/>
  <c r="F105" i="1"/>
  <c r="F95" i="1"/>
  <c r="F83" i="1"/>
  <c r="F73" i="1"/>
  <c r="F59" i="1"/>
  <c r="F49" i="1"/>
  <c r="F38" i="1"/>
  <c r="F27" i="1"/>
</calcChain>
</file>

<file path=xl/sharedStrings.xml><?xml version="1.0" encoding="utf-8"?>
<sst xmlns="http://schemas.openxmlformats.org/spreadsheetml/2006/main" count="290" uniqueCount="143">
  <si>
    <t>2021EBN111S02</t>
  </si>
  <si>
    <t>Student number:</t>
  </si>
  <si>
    <t>21495034</t>
  </si>
  <si>
    <t>09/06/2021 11:30 AM - 09/06/2021 13:10 AM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</si>
  <si>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</si>
  <si>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</si>
  <si>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</si>
  <si>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</si>
  <si>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</si>
  <si>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</si>
  <si>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</si>
  <si>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1.23+j4.56</t>
  </si>
  <si>
    <t>k&amp;Omega;</t>
  </si>
  <si>
    <t>Polar Format:</t>
  </si>
  <si>
    <t>1.23&amp;ang;4.56&amp;deg;</t>
  </si>
  <si>
    <t>mA</t>
  </si>
  <si>
    <t>Total Marks:</t>
  </si>
  <si>
    <t>Full Marks:</t>
  </si>
  <si>
    <t>Section 1</t>
  </si>
  <si>
    <t>Question 1 to 3</t>
  </si>
  <si>
    <t>Parameter / Description</t>
  </si>
  <si>
    <t>Numerical</t>
  </si>
  <si>
    <t>Units / Alphanumeric</t>
  </si>
  <si>
    <t>Marks</t>
  </si>
  <si>
    <t>List of examples of valid units</t>
  </si>
  <si>
    <t>IS</t>
  </si>
  <si>
    <t>A</t>
  </si>
  <si>
    <t>mV</t>
  </si>
  <si>
    <t>&amp;Omega;</t>
  </si>
  <si>
    <t>V</t>
  </si>
  <si>
    <t>kV</t>
  </si>
  <si>
    <t>01</t>
  </si>
  <si>
    <t>RB</t>
  </si>
  <si>
    <t>&amp;mu;A</t>
  </si>
  <si>
    <t>02</t>
  </si>
  <si>
    <t>B1</t>
  </si>
  <si>
    <t>03</t>
  </si>
  <si>
    <t>B2</t>
  </si>
  <si>
    <t>Total</t>
  </si>
  <si>
    <t>m&amp;Omega;</t>
  </si>
  <si>
    <t>M&amp;Omega;</t>
  </si>
  <si>
    <t>Question 4 to 5</t>
  </si>
  <si>
    <t>&amp;mu;F</t>
  </si>
  <si>
    <t>mF</t>
  </si>
  <si>
    <t>VS</t>
  </si>
  <si>
    <t>F</t>
  </si>
  <si>
    <t>&amp;mu;H</t>
  </si>
  <si>
    <t>mH</t>
  </si>
  <si>
    <t>04</t>
  </si>
  <si>
    <t>VTh</t>
  </si>
  <si>
    <t>H</t>
  </si>
  <si>
    <t>05</t>
  </si>
  <si>
    <t>RTh</t>
  </si>
  <si>
    <t>s</t>
  </si>
  <si>
    <t>ms</t>
  </si>
  <si>
    <t>&amp;mu;s</t>
  </si>
  <si>
    <t>C</t>
  </si>
  <si>
    <t>mW</t>
  </si>
  <si>
    <t>Question 6 to 7</t>
  </si>
  <si>
    <t>W</t>
  </si>
  <si>
    <t>kW</t>
  </si>
  <si>
    <t>I1</t>
  </si>
  <si>
    <t>&amp;mu;J</t>
  </si>
  <si>
    <t>mJ</t>
  </si>
  <si>
    <t>J</t>
  </si>
  <si>
    <t>06</t>
  </si>
  <si>
    <t>IN</t>
  </si>
  <si>
    <t>kJ</t>
  </si>
  <si>
    <t>07</t>
  </si>
  <si>
    <t>RN</t>
  </si>
  <si>
    <t>&amp;deg;</t>
  </si>
  <si>
    <t>Question 8 to 9</t>
  </si>
  <si>
    <t>08</t>
  </si>
  <si>
    <t>RL</t>
  </si>
  <si>
    <t>09</t>
  </si>
  <si>
    <t>Pmax</t>
  </si>
  <si>
    <t>Section 2</t>
  </si>
  <si>
    <t>Question 10 to 11</t>
  </si>
  <si>
    <t>v1</t>
  </si>
  <si>
    <t>10</t>
  </si>
  <si>
    <t>i</t>
  </si>
  <si>
    <t>VCC</t>
  </si>
  <si>
    <t>11</t>
  </si>
  <si>
    <t>Question 12</t>
  </si>
  <si>
    <t>vS</t>
  </si>
  <si>
    <t>12</t>
  </si>
  <si>
    <t>v0</t>
  </si>
  <si>
    <t>Question 13 to 14</t>
  </si>
  <si>
    <t>v2</t>
  </si>
  <si>
    <t>13</t>
  </si>
  <si>
    <t>14</t>
  </si>
  <si>
    <t>Question 15</t>
  </si>
  <si>
    <t>R</t>
  </si>
  <si>
    <t>15</t>
  </si>
  <si>
    <t>Question 16 to 17</t>
  </si>
  <si>
    <t>vx</t>
  </si>
  <si>
    <t>16</t>
  </si>
  <si>
    <t>17</t>
  </si>
  <si>
    <t>Section 3</t>
  </si>
  <si>
    <t>Question 18</t>
  </si>
  <si>
    <t>L</t>
  </si>
  <si>
    <t>18</t>
  </si>
  <si>
    <t>Lab</t>
  </si>
  <si>
    <t>Question 19</t>
  </si>
  <si>
    <t>t</t>
  </si>
  <si>
    <t>19</t>
  </si>
  <si>
    <t>i(t)</t>
  </si>
  <si>
    <t>Question 20 to 21</t>
  </si>
  <si>
    <t>20</t>
  </si>
  <si>
    <t>wL</t>
  </si>
  <si>
    <t>21</t>
  </si>
  <si>
    <t>wC</t>
  </si>
  <si>
    <t>Section 4</t>
  </si>
  <si>
    <t>Question 22</t>
  </si>
  <si>
    <t>22</t>
  </si>
  <si>
    <t>V2</t>
  </si>
  <si>
    <t>Question 23</t>
  </si>
  <si>
    <t>X</t>
  </si>
  <si>
    <t>Y</t>
  </si>
  <si>
    <t>23</t>
  </si>
  <si>
    <t>Z</t>
  </si>
  <si>
    <t>Question 24 to 25</t>
  </si>
  <si>
    <t>B</t>
  </si>
  <si>
    <t>24</t>
  </si>
  <si>
    <t>Write 1 or 2</t>
  </si>
  <si>
    <t>25</t>
  </si>
  <si>
    <t>Reyneke, R</t>
  </si>
  <si>
    <t>30</t>
  </si>
  <si>
    <t>4.29</t>
  </si>
  <si>
    <t>87.5</t>
  </si>
  <si>
    <t>0.13</t>
  </si>
  <si>
    <t>15.56</t>
  </si>
  <si>
    <t>40</t>
  </si>
  <si>
    <t>22.5</t>
  </si>
  <si>
    <t>1.5</t>
  </si>
  <si>
    <t>0.2</t>
  </si>
  <si>
    <t>14.89</t>
  </si>
  <si>
    <t>0.18</t>
  </si>
  <si>
    <t>11.25</t>
  </si>
  <si>
    <t>5.33</t>
  </si>
  <si>
    <t>-5.33</t>
  </si>
  <si>
    <t>-71</t>
  </si>
  <si>
    <t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</si>
</sst>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2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8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1" fontId="4" fillId="0" borderId="15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0" fillId="0" borderId="0" xfId="0"/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7" fillId="0" borderId="20" xfId="0" applyFont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/>
    </xf>
    <xf numFmtId="0" fontId="19" fillId="0" borderId="16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3" fillId="0" borderId="0" xfId="0" applyFont="1"/>
    <xf numFmtId="0" fontId="9" fillId="0" borderId="0" xfId="0" applyFont="1" applyAlignment="1">
      <alignment wrapText="1"/>
    </xf>
    <xf numFmtId="0" fontId="19" fillId="0" borderId="9" xfId="0" quotePrefix="1" applyFont="1" applyBorder="1" applyAlignment="1">
      <alignment horizontal="center"/>
    </xf>
    <xf numFmtId="0" fontId="19" fillId="0" borderId="12" xfId="0" quotePrefix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6" fillId="0" borderId="0" xfId="0" applyFont="1"/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9" fillId="0" borderId="23" xfId="0" quotePrefix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9" fillId="6" borderId="24" xfId="0" applyFont="1" applyFill="1" applyBorder="1" applyAlignment="1">
      <alignment horizontal="center" wrapText="1"/>
    </xf>
    <xf numFmtId="0" fontId="19" fillId="0" borderId="15" xfId="0" quotePrefix="1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20" fillId="6" borderId="6" xfId="0" applyFont="1" applyFill="1" applyBorder="1" applyAlignment="1">
      <alignment horizontal="center" wrapText="1"/>
    </xf>
    <xf numFmtId="0" fontId="15" fillId="6" borderId="27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/>
    </xf>
    <xf numFmtId="0" fontId="9" fillId="7" borderId="6" xfId="0" applyFont="1" applyFill="1" applyBorder="1"/>
    <xf numFmtId="0" fontId="20" fillId="6" borderId="17" xfId="0" applyFont="1" applyFill="1" applyBorder="1" applyAlignment="1">
      <alignment horizontal="center" wrapText="1"/>
    </xf>
    <xf numFmtId="0" fontId="20" fillId="6" borderId="27" xfId="0" applyFont="1" applyFill="1" applyBorder="1" applyAlignment="1">
      <alignment horizontal="center" wrapText="1"/>
    </xf>
    <xf numFmtId="0" fontId="9" fillId="7" borderId="13" xfId="0" applyFont="1" applyFill="1" applyBorder="1"/>
    <xf numFmtId="0" fontId="21" fillId="0" borderId="0" xfId="0" applyFont="1" applyAlignment="1">
      <alignment horizontal="center" vertical="center"/>
    </xf>
    <xf numFmtId="49" fontId="19" fillId="0" borderId="3" xfId="0" quotePrefix="1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49" fontId="19" fillId="0" borderId="9" xfId="0" quotePrefix="1" applyNumberFormat="1" applyFont="1" applyBorder="1" applyAlignment="1">
      <alignment horizontal="center"/>
    </xf>
    <xf numFmtId="0" fontId="3" fillId="6" borderId="3" xfId="0" applyFont="1" applyFill="1" applyBorder="1" applyAlignment="1">
      <alignment vertical="center" wrapText="1"/>
    </xf>
    <xf numFmtId="164" fontId="9" fillId="4" borderId="30" xfId="0" applyNumberFormat="1" applyFont="1" applyFill="1" applyBorder="1" applyAlignment="1">
      <alignment horizontal="center" wrapText="1"/>
    </xf>
    <xf numFmtId="0" fontId="15" fillId="4" borderId="30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wrapText="1"/>
    </xf>
    <xf numFmtId="0" fontId="9" fillId="4" borderId="3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9" fillId="6" borderId="10" xfId="0" applyFont="1" applyFill="1" applyBorder="1" applyAlignment="1">
      <alignment horizontal="center"/>
    </xf>
    <xf numFmtId="0" fontId="15" fillId="6" borderId="24" xfId="0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/>
    </xf>
    <xf numFmtId="0" fontId="15" fillId="6" borderId="13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wrapText="1"/>
    </xf>
    <xf numFmtId="0" fontId="9" fillId="6" borderId="14" xfId="0" applyFont="1" applyFill="1" applyBorder="1" applyAlignment="1">
      <alignment horizontal="center"/>
    </xf>
    <xf numFmtId="0" fontId="9" fillId="4" borderId="27" xfId="0" applyFont="1" applyFill="1" applyBorder="1" applyAlignment="1">
      <alignment horizontal="center" wrapText="1"/>
    </xf>
    <xf numFmtId="0" fontId="19" fillId="0" borderId="3" xfId="0" quotePrefix="1" applyFont="1" applyBorder="1" applyAlignment="1">
      <alignment horizontal="center"/>
    </xf>
    <xf numFmtId="0" fontId="9" fillId="7" borderId="30" xfId="0" applyFont="1" applyFill="1" applyBorder="1"/>
    <xf numFmtId="0" fontId="9" fillId="7" borderId="17" xfId="0" applyFont="1" applyFill="1" applyBorder="1"/>
    <xf numFmtId="0" fontId="3" fillId="6" borderId="16" xfId="0" applyFont="1" applyFill="1" applyBorder="1" applyAlignment="1">
      <alignment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wrapText="1"/>
    </xf>
    <xf numFmtId="0" fontId="9" fillId="6" borderId="18" xfId="0" applyFont="1" applyFill="1" applyBorder="1" applyAlignment="1">
      <alignment horizontal="center"/>
    </xf>
    <xf numFmtId="49" fontId="15" fillId="3" borderId="4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5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6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13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17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7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4" xfId="0" applyNumberFormat="1" applyFont="1" applyFill="1" applyBorder="1" applyAlignment="1" applyProtection="1">
      <alignment horizontal="center" vertical="center" wrapText="1"/>
      <protection locked="0"/>
    </xf>
    <xf numFmtId="11" fontId="4" fillId="0" borderId="0" xfId="0" applyNumberFormat="1" applyFont="1" applyAlignment="1">
      <alignment horizontal="center" vertical="center" wrapText="1"/>
    </xf>
    <xf numFmtId="0" fontId="9" fillId="4" borderId="24" xfId="0" applyFont="1" applyFill="1" applyBorder="1" applyAlignment="1">
      <alignment horizontal="center" wrapText="1"/>
    </xf>
    <xf numFmtId="0" fontId="9" fillId="7" borderId="25" xfId="0" applyFont="1" applyFill="1" applyBorder="1"/>
    <xf numFmtId="6" fontId="9" fillId="6" borderId="6" xfId="0" applyNumberFormat="1" applyFont="1" applyFill="1" applyBorder="1" applyAlignment="1">
      <alignment horizontal="center" wrapText="1"/>
    </xf>
    <xf numFmtId="6" fontId="9" fillId="6" borderId="27" xfId="0" applyNumberFormat="1" applyFont="1" applyFill="1" applyBorder="1" applyAlignment="1">
      <alignment horizontal="center" wrapText="1"/>
    </xf>
    <xf numFmtId="6" fontId="9" fillId="6" borderId="1" xfId="0" applyNumberFormat="1" applyFont="1" applyFill="1" applyBorder="1" applyAlignment="1">
      <alignment horizontal="center" wrapText="1"/>
    </xf>
    <xf numFmtId="6" fontId="9" fillId="6" borderId="17" xfId="0" applyNumberFormat="1" applyFont="1" applyFill="1" applyBorder="1" applyAlignment="1">
      <alignment horizontal="center" wrapText="1"/>
    </xf>
    <xf numFmtId="6" fontId="9" fillId="0" borderId="25" xfId="0" applyNumberFormat="1" applyFont="1" applyBorder="1" applyAlignment="1">
      <alignment horizontal="center"/>
    </xf>
    <xf numFmtId="6" fontId="9" fillId="6" borderId="24" xfId="0" applyNumberFormat="1" applyFont="1" applyFill="1" applyBorder="1" applyAlignment="1">
      <alignment horizontal="center" wrapText="1"/>
    </xf>
    <xf numFmtId="6" fontId="9" fillId="6" borderId="13" xfId="0" applyNumberFormat="1" applyFont="1" applyFill="1" applyBorder="1" applyAlignment="1">
      <alignment horizontal="center" wrapText="1"/>
    </xf>
    <xf numFmtId="6" fontId="9" fillId="0" borderId="6" xfId="0" applyNumberFormat="1" applyFont="1" applyBorder="1" applyAlignment="1">
      <alignment horizontal="center"/>
    </xf>
    <xf numFmtId="49" fontId="15" fillId="3" borderId="25" xfId="0" quotePrefix="1" applyNumberFormat="1" applyFont="1" applyFill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>
      <alignment horizontal="center" vertical="center"/>
    </xf>
    <xf numFmtId="0" fontId="0" fillId="0" borderId="22" xfId="0" applyBorder="1"/>
    <xf numFmtId="0" fontId="0" fillId="0" borderId="33" xfId="0" applyBorder="1"/>
    <xf numFmtId="0" fontId="3" fillId="6" borderId="34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5" xfId="0" applyBorder="1"/>
    <xf numFmtId="0" fontId="3" fillId="6" borderId="3" xfId="0" applyFont="1" applyFill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/>
    </xf>
    <xf numFmtId="0" fontId="0" fillId="0" borderId="37" xfId="0" applyBorder="1"/>
    <xf numFmtId="0" fontId="11" fillId="0" borderId="15" xfId="0" applyFont="1" applyBorder="1" applyAlignment="1">
      <alignment horizontal="center"/>
    </xf>
    <xf numFmtId="0" fontId="0" fillId="0" borderId="38" xfId="0" applyBorder="1"/>
    <xf numFmtId="0" fontId="18" fillId="0" borderId="1" xfId="0" applyFont="1" applyBorder="1" applyAlignment="1">
      <alignment horizontal="left" vertical="top"/>
    </xf>
    <xf numFmtId="0" fontId="0" fillId="0" borderId="35" xfId="0" applyBorder="1"/>
    <xf numFmtId="0" fontId="19" fillId="0" borderId="0" xfId="0" applyFont="1" applyAlignment="1">
      <alignment horizontal="left" vertical="center" wrapText="1"/>
    </xf>
    <xf numFmtId="0" fontId="0" fillId="0" borderId="0" xfId="0"/>
    <xf numFmtId="0" fontId="4" fillId="3" borderId="1" xfId="0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wrapText="1"/>
    </xf>
    <xf numFmtId="0" fontId="0" fillId="0" borderId="36" xfId="0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76"/>
  <sheetViews>
    <sheetView showGridLines="0" tabSelected="1" topLeftCell="A104" zoomScaleNormal="100" workbookViewId="0">
      <selection activeCell="E114" sqref="E114"/>
    </sheetView>
  </sheetViews>
  <sheetFormatPr defaultColWidth="11.08203125" defaultRowHeight="15.5" x14ac:dyDescent="0.35"/>
  <cols>
    <col min="1" max="1" width="2.33203125" style="42" customWidth="1"/>
    <col min="2" max="2" width="9.58203125" style="42" customWidth="1"/>
    <col min="3" max="3" width="38.83203125" style="42" customWidth="1"/>
    <col min="4" max="4" width="25.83203125" style="42" customWidth="1"/>
    <col min="5" max="5" width="17.58203125" style="42" customWidth="1"/>
    <col min="6" max="6" width="13.5" style="42" customWidth="1"/>
    <col min="7" max="7" width="5.08203125" style="42" customWidth="1"/>
    <col min="8" max="8" width="4.75" style="30" customWidth="1"/>
    <col min="9" max="9" width="15.08203125" style="42" customWidth="1"/>
    <col min="10" max="10" width="10.25" style="4" customWidth="1"/>
    <col min="11" max="23" width="4.75" style="42" customWidth="1"/>
    <col min="24" max="24" width="11.08203125" style="42" customWidth="1"/>
    <col min="25" max="16384" width="11.08203125" style="42"/>
  </cols>
  <sheetData>
    <row r="1" spans="2:13" ht="18.75" customHeight="1" x14ac:dyDescent="0.35">
      <c r="B1" s="147" t="s">
        <v>0</v>
      </c>
      <c r="C1" s="139"/>
      <c r="D1" s="1" t="s">
        <v>1</v>
      </c>
      <c r="E1" s="142" t="s">
        <v>2</v>
      </c>
      <c r="F1" s="139"/>
      <c r="G1" s="2"/>
      <c r="H1" s="3"/>
      <c r="K1" s="5"/>
      <c r="L1" s="5"/>
      <c r="M1" s="5"/>
    </row>
    <row r="2" spans="2:13" x14ac:dyDescent="0.35">
      <c r="B2" s="143" t="s">
        <v>3</v>
      </c>
      <c r="C2" s="139"/>
      <c r="D2" s="1" t="s">
        <v>4</v>
      </c>
      <c r="E2" s="144" t="s">
        <v>126</v>
      </c>
      <c r="F2" s="139"/>
      <c r="G2" s="6"/>
      <c r="H2" s="3"/>
      <c r="K2" s="5"/>
      <c r="L2" s="5"/>
      <c r="M2" s="5"/>
    </row>
    <row r="3" spans="2:13" x14ac:dyDescent="0.35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4" customHeight="1" x14ac:dyDescent="0.35">
      <c r="B4" s="145" t="s">
        <v>5</v>
      </c>
      <c r="C4" s="146"/>
      <c r="D4" s="146"/>
      <c r="E4" s="146"/>
      <c r="F4" s="139"/>
      <c r="G4" s="10"/>
      <c r="H4" s="8"/>
      <c r="J4" s="9"/>
      <c r="K4" s="7"/>
      <c r="L4" s="7"/>
      <c r="M4" s="7"/>
    </row>
    <row r="5" spans="2:13" x14ac:dyDescent="0.35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5">
      <c r="B6" s="13"/>
      <c r="C6" s="138" t="s">
        <v>6</v>
      </c>
      <c r="D6" s="139"/>
      <c r="E6" s="12"/>
      <c r="F6" s="5"/>
      <c r="G6" s="5"/>
      <c r="H6" s="3"/>
      <c r="K6" s="5"/>
      <c r="L6" s="5"/>
      <c r="M6" s="5"/>
    </row>
    <row r="7" spans="2:13" x14ac:dyDescent="0.35">
      <c r="B7" s="14"/>
      <c r="C7" s="138" t="s">
        <v>7</v>
      </c>
      <c r="D7" s="139"/>
      <c r="E7" s="12"/>
      <c r="F7" s="5"/>
      <c r="G7" s="5"/>
      <c r="H7" s="3"/>
      <c r="L7" s="5"/>
      <c r="M7" s="5"/>
    </row>
    <row r="8" spans="2:13" x14ac:dyDescent="0.35">
      <c r="B8" s="15"/>
      <c r="C8" s="138" t="s">
        <v>8</v>
      </c>
      <c r="D8" s="139"/>
      <c r="E8" s="12"/>
      <c r="F8" s="5"/>
      <c r="G8" s="5"/>
      <c r="H8" s="3"/>
      <c r="L8" s="5"/>
      <c r="M8" s="5"/>
    </row>
    <row r="9" spans="2:13" x14ac:dyDescent="0.35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5">
      <c r="B10" s="140" t="s">
        <v>9</v>
      </c>
      <c r="C10" s="141"/>
      <c r="D10" s="141"/>
      <c r="E10" s="141"/>
      <c r="F10" s="141"/>
      <c r="G10" s="5"/>
      <c r="H10" s="3"/>
      <c r="L10" s="5"/>
      <c r="M10" s="5"/>
    </row>
    <row r="11" spans="2:13" x14ac:dyDescent="0.35">
      <c r="B11" s="5"/>
      <c r="C11" s="17" t="s">
        <v>10</v>
      </c>
      <c r="D11" s="18" t="s">
        <v>11</v>
      </c>
      <c r="E11" s="19" t="s">
        <v>12</v>
      </c>
      <c r="F11" s="5"/>
      <c r="G11" s="5"/>
      <c r="H11" s="3"/>
      <c r="L11" s="5"/>
      <c r="M11" s="5"/>
    </row>
    <row r="12" spans="2:13" x14ac:dyDescent="0.35">
      <c r="B12" s="16"/>
      <c r="C12" s="20" t="s">
        <v>13</v>
      </c>
      <c r="D12" s="18" t="s">
        <v>14</v>
      </c>
      <c r="E12" s="19" t="s">
        <v>15</v>
      </c>
      <c r="F12" s="5"/>
      <c r="G12" s="5"/>
      <c r="H12" s="3"/>
      <c r="L12" s="5"/>
      <c r="M12" s="5"/>
    </row>
    <row r="13" spans="2:13" ht="16.5" customHeight="1" thickBot="1" x14ac:dyDescent="0.4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5">
      <c r="B14" s="23"/>
      <c r="C14" s="24"/>
      <c r="D14" s="134" t="s">
        <v>16</v>
      </c>
      <c r="E14" s="135"/>
      <c r="F14" s="25">
        <v>46</v>
      </c>
      <c r="G14" s="24"/>
      <c r="H14" s="55"/>
      <c r="J14" s="26"/>
      <c r="L14" s="24"/>
      <c r="M14" s="24"/>
    </row>
    <row r="15" spans="2:13" ht="21" customHeight="1" thickBot="1" x14ac:dyDescent="0.45">
      <c r="B15" s="23"/>
      <c r="C15" s="24"/>
      <c r="D15" s="136" t="s">
        <v>17</v>
      </c>
      <c r="E15" s="137"/>
      <c r="F15" s="27">
        <v>45</v>
      </c>
      <c r="G15" s="24"/>
      <c r="H15" s="55"/>
      <c r="J15" s="26"/>
    </row>
    <row r="16" spans="2:13" ht="21" customHeight="1" thickBot="1" x14ac:dyDescent="0.45">
      <c r="B16" s="23"/>
      <c r="C16" s="24"/>
      <c r="D16" s="28"/>
      <c r="E16" s="28"/>
      <c r="F16" s="29"/>
      <c r="G16" s="24"/>
      <c r="H16" s="55"/>
      <c r="J16" s="26"/>
    </row>
    <row r="17" spans="2:13" ht="22" customHeight="1" thickBot="1" x14ac:dyDescent="0.4">
      <c r="B17" s="133" t="s">
        <v>18</v>
      </c>
      <c r="C17" s="127"/>
      <c r="D17" s="127"/>
      <c r="E17" s="127"/>
      <c r="F17" s="128"/>
      <c r="G17" s="24"/>
      <c r="H17" s="55"/>
      <c r="J17" s="26"/>
    </row>
    <row r="18" spans="2:13" ht="15.75" customHeight="1" thickBot="1" x14ac:dyDescent="0.4">
      <c r="B18" s="80"/>
      <c r="C18" s="80"/>
      <c r="D18" s="80"/>
      <c r="E18" s="80"/>
      <c r="F18" s="80"/>
      <c r="G18" s="24"/>
      <c r="H18" s="55"/>
      <c r="J18" s="26"/>
    </row>
    <row r="19" spans="2:13" ht="19.5" customHeight="1" thickBot="1" x14ac:dyDescent="0.4">
      <c r="B19" s="126" t="s">
        <v>19</v>
      </c>
      <c r="C19" s="127"/>
      <c r="D19" s="127"/>
      <c r="E19" s="127"/>
      <c r="F19" s="128"/>
    </row>
    <row r="20" spans="2:13" ht="30" customHeight="1" thickBot="1" x14ac:dyDescent="0.4">
      <c r="B20" s="31"/>
      <c r="C20" s="32" t="s">
        <v>20</v>
      </c>
      <c r="D20" s="32" t="s">
        <v>21</v>
      </c>
      <c r="E20" s="32" t="s">
        <v>22</v>
      </c>
      <c r="F20" s="33" t="s">
        <v>23</v>
      </c>
      <c r="I20" s="34" t="s">
        <v>24</v>
      </c>
    </row>
    <row r="21" spans="2:13" x14ac:dyDescent="0.35">
      <c r="B21" s="129"/>
      <c r="C21" s="117" t="s">
        <v>25</v>
      </c>
      <c r="D21" s="35">
        <v>1</v>
      </c>
      <c r="E21" s="36" t="s">
        <v>26</v>
      </c>
      <c r="F21" s="37"/>
      <c r="I21" s="68" t="s">
        <v>27</v>
      </c>
    </row>
    <row r="22" spans="2:13" x14ac:dyDescent="0.35">
      <c r="B22" s="130"/>
      <c r="C22" s="47">
        <v>1</v>
      </c>
      <c r="D22" s="48">
        <v>8</v>
      </c>
      <c r="E22" s="49" t="s">
        <v>28</v>
      </c>
      <c r="F22" s="50"/>
      <c r="I22" s="46" t="s">
        <v>29</v>
      </c>
    </row>
    <row r="23" spans="2:13" ht="16.5" customHeight="1" thickBot="1" x14ac:dyDescent="0.4">
      <c r="B23" s="131"/>
      <c r="C23" s="118">
        <v>2</v>
      </c>
      <c r="D23" s="74">
        <v>10</v>
      </c>
      <c r="E23" s="69" t="s">
        <v>28</v>
      </c>
      <c r="F23" s="75"/>
      <c r="I23" s="46" t="s">
        <v>30</v>
      </c>
    </row>
    <row r="24" spans="2:13" x14ac:dyDescent="0.35">
      <c r="B24" s="81" t="s">
        <v>31</v>
      </c>
      <c r="C24" s="82" t="s">
        <v>32</v>
      </c>
      <c r="D24" s="106" t="s">
        <v>101</v>
      </c>
      <c r="E24" s="106" t="s">
        <v>28</v>
      </c>
      <c r="F24" s="83">
        <v>2</v>
      </c>
      <c r="I24" s="46" t="s">
        <v>33</v>
      </c>
    </row>
    <row r="25" spans="2:13" x14ac:dyDescent="0.35">
      <c r="B25" s="66" t="s">
        <v>34</v>
      </c>
      <c r="C25" s="63" t="s">
        <v>35</v>
      </c>
      <c r="D25" s="107" t="s">
        <v>127</v>
      </c>
      <c r="E25" s="15"/>
      <c r="F25" s="67">
        <v>1</v>
      </c>
      <c r="I25" s="46" t="s">
        <v>15</v>
      </c>
      <c r="L25" s="24"/>
      <c r="M25" s="24"/>
    </row>
    <row r="26" spans="2:13" ht="16.5" customHeight="1" thickBot="1" x14ac:dyDescent="0.4">
      <c r="B26" s="70" t="s">
        <v>36</v>
      </c>
      <c r="C26" s="71" t="s">
        <v>37</v>
      </c>
      <c r="D26" s="108" t="s">
        <v>96</v>
      </c>
      <c r="E26" s="79"/>
      <c r="F26" s="72">
        <v>1</v>
      </c>
      <c r="I26" s="51" t="s">
        <v>26</v>
      </c>
      <c r="L26" s="24"/>
      <c r="M26" s="24"/>
    </row>
    <row r="27" spans="2:13" ht="16.5" customHeight="1" thickBot="1" x14ac:dyDescent="0.4">
      <c r="E27" s="40" t="s">
        <v>38</v>
      </c>
      <c r="F27" s="41">
        <f>SUM(F24:F26)</f>
        <v>4</v>
      </c>
      <c r="I27" s="46" t="s">
        <v>39</v>
      </c>
    </row>
    <row r="28" spans="2:13" ht="15.75" customHeight="1" x14ac:dyDescent="0.35">
      <c r="I28" s="46" t="s">
        <v>28</v>
      </c>
    </row>
    <row r="29" spans="2:13" x14ac:dyDescent="0.35">
      <c r="B29" s="43"/>
      <c r="C29" s="44"/>
      <c r="D29" s="44"/>
      <c r="E29" s="44"/>
      <c r="F29" s="45"/>
      <c r="I29" s="46" t="s">
        <v>12</v>
      </c>
    </row>
    <row r="30" spans="2:13" ht="16.5" customHeight="1" thickBot="1" x14ac:dyDescent="0.4">
      <c r="I30" s="46" t="s">
        <v>40</v>
      </c>
    </row>
    <row r="31" spans="2:13" ht="19.5" customHeight="1" thickBot="1" x14ac:dyDescent="0.4">
      <c r="B31" s="126" t="s">
        <v>41</v>
      </c>
      <c r="C31" s="127"/>
      <c r="D31" s="127"/>
      <c r="E31" s="127"/>
      <c r="F31" s="128"/>
      <c r="I31" s="46" t="s">
        <v>42</v>
      </c>
    </row>
    <row r="32" spans="2:13" ht="29.25" customHeight="1" thickBot="1" x14ac:dyDescent="0.4">
      <c r="B32" s="31"/>
      <c r="C32" s="32" t="s">
        <v>20</v>
      </c>
      <c r="D32" s="32" t="s">
        <v>21</v>
      </c>
      <c r="E32" s="32" t="s">
        <v>22</v>
      </c>
      <c r="F32" s="33" t="s">
        <v>23</v>
      </c>
      <c r="I32" s="46" t="s">
        <v>43</v>
      </c>
    </row>
    <row r="33" spans="2:13" x14ac:dyDescent="0.35">
      <c r="B33" s="129"/>
      <c r="C33" s="117" t="s">
        <v>44</v>
      </c>
      <c r="D33" s="35">
        <v>10</v>
      </c>
      <c r="E33" s="36" t="s">
        <v>29</v>
      </c>
      <c r="F33" s="37"/>
      <c r="I33" s="46" t="s">
        <v>45</v>
      </c>
    </row>
    <row r="34" spans="2:13" x14ac:dyDescent="0.35">
      <c r="B34" s="130"/>
      <c r="C34" s="47">
        <v>1</v>
      </c>
      <c r="D34" s="48">
        <v>700</v>
      </c>
      <c r="E34" s="49" t="s">
        <v>28</v>
      </c>
      <c r="F34" s="50"/>
      <c r="I34" s="46" t="s">
        <v>46</v>
      </c>
    </row>
    <row r="35" spans="2:13" ht="16.5" customHeight="1" thickBot="1" x14ac:dyDescent="0.4">
      <c r="B35" s="131"/>
      <c r="C35" s="118">
        <v>2</v>
      </c>
      <c r="D35" s="74">
        <v>100</v>
      </c>
      <c r="E35" s="69" t="s">
        <v>28</v>
      </c>
      <c r="F35" s="75"/>
      <c r="I35" s="46" t="s">
        <v>47</v>
      </c>
    </row>
    <row r="36" spans="2:13" x14ac:dyDescent="0.35">
      <c r="B36" s="84" t="s">
        <v>48</v>
      </c>
      <c r="C36" s="64" t="s">
        <v>49</v>
      </c>
      <c r="D36" s="109" t="s">
        <v>128</v>
      </c>
      <c r="E36" s="109" t="s">
        <v>29</v>
      </c>
      <c r="F36" s="65">
        <v>2</v>
      </c>
      <c r="I36" s="46" t="s">
        <v>50</v>
      </c>
    </row>
    <row r="37" spans="2:13" ht="16.5" customHeight="1" thickBot="1" x14ac:dyDescent="0.4">
      <c r="B37" s="70" t="s">
        <v>51</v>
      </c>
      <c r="C37" s="71" t="s">
        <v>52</v>
      </c>
      <c r="D37" s="108" t="s">
        <v>129</v>
      </c>
      <c r="E37" s="108" t="s">
        <v>28</v>
      </c>
      <c r="F37" s="72">
        <v>2</v>
      </c>
      <c r="I37" s="46" t="s">
        <v>53</v>
      </c>
    </row>
    <row r="38" spans="2:13" ht="16.5" customHeight="1" thickBot="1" x14ac:dyDescent="0.4">
      <c r="E38" s="40" t="s">
        <v>38</v>
      </c>
      <c r="F38" s="41">
        <f>SUM(F36:F37)</f>
        <v>4</v>
      </c>
      <c r="I38" s="46" t="s">
        <v>54</v>
      </c>
    </row>
    <row r="39" spans="2:13" x14ac:dyDescent="0.35">
      <c r="I39" s="46" t="s">
        <v>55</v>
      </c>
    </row>
    <row r="40" spans="2:13" x14ac:dyDescent="0.35">
      <c r="B40" s="43"/>
      <c r="C40" s="44"/>
      <c r="D40" s="44"/>
      <c r="E40" s="44"/>
      <c r="F40" s="45"/>
      <c r="I40" s="46" t="s">
        <v>56</v>
      </c>
    </row>
    <row r="41" spans="2:13" ht="16.5" customHeight="1" thickBot="1" x14ac:dyDescent="0.4">
      <c r="I41" s="46" t="s">
        <v>57</v>
      </c>
    </row>
    <row r="42" spans="2:13" ht="19.5" customHeight="1" thickBot="1" x14ac:dyDescent="0.4">
      <c r="B42" s="126" t="s">
        <v>58</v>
      </c>
      <c r="C42" s="127"/>
      <c r="D42" s="127"/>
      <c r="E42" s="127"/>
      <c r="F42" s="128"/>
      <c r="I42" s="46" t="s">
        <v>59</v>
      </c>
    </row>
    <row r="43" spans="2:13" ht="29.25" customHeight="1" thickBot="1" x14ac:dyDescent="0.4">
      <c r="B43" s="31"/>
      <c r="C43" s="32" t="s">
        <v>20</v>
      </c>
      <c r="D43" s="32" t="s">
        <v>21</v>
      </c>
      <c r="E43" s="32" t="s">
        <v>22</v>
      </c>
      <c r="F43" s="33" t="s">
        <v>23</v>
      </c>
      <c r="I43" s="46" t="s">
        <v>60</v>
      </c>
    </row>
    <row r="44" spans="2:13" x14ac:dyDescent="0.35">
      <c r="B44" s="129"/>
      <c r="C44" s="117" t="s">
        <v>61</v>
      </c>
      <c r="D44" s="35">
        <v>1</v>
      </c>
      <c r="E44" s="36" t="s">
        <v>26</v>
      </c>
      <c r="F44" s="37"/>
      <c r="I44" s="46" t="s">
        <v>62</v>
      </c>
    </row>
    <row r="45" spans="2:13" x14ac:dyDescent="0.35">
      <c r="B45" s="130"/>
      <c r="C45" s="47">
        <v>1</v>
      </c>
      <c r="D45" s="48">
        <v>20</v>
      </c>
      <c r="E45" s="49" t="s">
        <v>28</v>
      </c>
      <c r="F45" s="50"/>
      <c r="I45" s="46" t="s">
        <v>63</v>
      </c>
    </row>
    <row r="46" spans="2:13" ht="16.5" customHeight="1" thickBot="1" x14ac:dyDescent="0.4">
      <c r="B46" s="131"/>
      <c r="C46" s="118">
        <v>2</v>
      </c>
      <c r="D46" s="74">
        <v>50</v>
      </c>
      <c r="E46" s="69" t="s">
        <v>28</v>
      </c>
      <c r="F46" s="75"/>
      <c r="I46" s="46" t="s">
        <v>64</v>
      </c>
    </row>
    <row r="47" spans="2:13" x14ac:dyDescent="0.35">
      <c r="B47" s="57" t="s">
        <v>65</v>
      </c>
      <c r="C47" s="64" t="s">
        <v>66</v>
      </c>
      <c r="D47" s="109" t="s">
        <v>130</v>
      </c>
      <c r="E47" s="109" t="s">
        <v>26</v>
      </c>
      <c r="F47" s="65">
        <v>2</v>
      </c>
      <c r="I47" s="46" t="s">
        <v>67</v>
      </c>
      <c r="L47" s="24"/>
      <c r="M47" s="24"/>
    </row>
    <row r="48" spans="2:13" ht="16.5" customHeight="1" thickBot="1" x14ac:dyDescent="0.4">
      <c r="B48" s="58" t="s">
        <v>68</v>
      </c>
      <c r="C48" s="59" t="s">
        <v>69</v>
      </c>
      <c r="D48" s="110" t="s">
        <v>131</v>
      </c>
      <c r="E48" s="110" t="s">
        <v>28</v>
      </c>
      <c r="F48" s="60">
        <v>2</v>
      </c>
      <c r="I48" s="52" t="s">
        <v>70</v>
      </c>
      <c r="L48" s="24"/>
      <c r="M48" s="24"/>
    </row>
    <row r="49" spans="2:13" ht="16.5" customHeight="1" thickBot="1" x14ac:dyDescent="0.4">
      <c r="E49" s="40" t="s">
        <v>38</v>
      </c>
      <c r="F49" s="41">
        <f>SUM(F47,F48)</f>
        <v>4</v>
      </c>
    </row>
    <row r="51" spans="2:13" x14ac:dyDescent="0.35">
      <c r="B51" s="43"/>
      <c r="C51" s="44"/>
      <c r="D51" s="44"/>
      <c r="E51" s="44"/>
      <c r="F51" s="45"/>
    </row>
    <row r="52" spans="2:13" ht="16.5" customHeight="1" thickBot="1" x14ac:dyDescent="0.4"/>
    <row r="53" spans="2:13" ht="19.5" customHeight="1" thickBot="1" x14ac:dyDescent="0.4">
      <c r="B53" s="126" t="s">
        <v>71</v>
      </c>
      <c r="C53" s="127"/>
      <c r="D53" s="127"/>
      <c r="E53" s="127"/>
      <c r="F53" s="128"/>
    </row>
    <row r="54" spans="2:13" ht="29.25" customHeight="1" thickBot="1" x14ac:dyDescent="0.4">
      <c r="B54" s="31"/>
      <c r="C54" s="32" t="s">
        <v>20</v>
      </c>
      <c r="D54" s="32" t="s">
        <v>21</v>
      </c>
      <c r="E54" s="32" t="s">
        <v>22</v>
      </c>
      <c r="F54" s="33" t="s">
        <v>23</v>
      </c>
    </row>
    <row r="55" spans="2:13" x14ac:dyDescent="0.35">
      <c r="B55" s="129"/>
      <c r="C55" s="117">
        <v>1</v>
      </c>
      <c r="D55" s="35">
        <v>5</v>
      </c>
      <c r="E55" s="36" t="s">
        <v>28</v>
      </c>
      <c r="F55" s="37"/>
    </row>
    <row r="56" spans="2:13" ht="16.5" customHeight="1" thickBot="1" x14ac:dyDescent="0.4">
      <c r="B56" s="131"/>
      <c r="C56" s="47">
        <v>2</v>
      </c>
      <c r="D56" s="48">
        <v>30</v>
      </c>
      <c r="E56" s="49" t="s">
        <v>28</v>
      </c>
      <c r="F56" s="50"/>
    </row>
    <row r="57" spans="2:13" x14ac:dyDescent="0.35">
      <c r="B57" s="57" t="s">
        <v>72</v>
      </c>
      <c r="C57" s="64" t="s">
        <v>73</v>
      </c>
      <c r="D57" s="109" t="s">
        <v>132</v>
      </c>
      <c r="E57" s="109" t="s">
        <v>28</v>
      </c>
      <c r="F57" s="65">
        <v>2</v>
      </c>
      <c r="L57" s="24"/>
      <c r="M57" s="24"/>
    </row>
    <row r="58" spans="2:13" ht="16.5" customHeight="1" thickBot="1" x14ac:dyDescent="0.4">
      <c r="B58" s="58" t="s">
        <v>74</v>
      </c>
      <c r="C58" s="59" t="s">
        <v>75</v>
      </c>
      <c r="D58" s="110" t="s">
        <v>133</v>
      </c>
      <c r="E58" s="110" t="s">
        <v>59</v>
      </c>
      <c r="F58" s="60">
        <v>2</v>
      </c>
      <c r="L58" s="24"/>
      <c r="M58" s="24"/>
    </row>
    <row r="59" spans="2:13" ht="16.5" customHeight="1" thickBot="1" x14ac:dyDescent="0.4">
      <c r="E59" s="40" t="s">
        <v>38</v>
      </c>
      <c r="F59" s="41">
        <f>SUM(F57,F58)</f>
        <v>4</v>
      </c>
    </row>
    <row r="61" spans="2:13" x14ac:dyDescent="0.35">
      <c r="B61" s="43"/>
      <c r="C61" s="44"/>
      <c r="D61" s="44"/>
      <c r="E61" s="44"/>
      <c r="F61" s="45"/>
    </row>
    <row r="62" spans="2:13" ht="16.5" customHeight="1" thickBot="1" x14ac:dyDescent="0.4"/>
    <row r="63" spans="2:13" ht="22" customHeight="1" thickBot="1" x14ac:dyDescent="0.4">
      <c r="B63" s="133" t="s">
        <v>76</v>
      </c>
      <c r="C63" s="127"/>
      <c r="D63" s="127"/>
      <c r="E63" s="127"/>
      <c r="F63" s="128"/>
      <c r="G63" s="24"/>
      <c r="H63" s="55"/>
      <c r="J63" s="26"/>
    </row>
    <row r="64" spans="2:13" ht="16.5" customHeight="1" thickBot="1" x14ac:dyDescent="0.4"/>
    <row r="65" spans="2:13" ht="19.5" customHeight="1" thickBot="1" x14ac:dyDescent="0.4">
      <c r="B65" s="126" t="s">
        <v>77</v>
      </c>
      <c r="C65" s="127"/>
      <c r="D65" s="127"/>
      <c r="E65" s="127"/>
      <c r="F65" s="128"/>
    </row>
    <row r="66" spans="2:13" ht="29.25" customHeight="1" thickBot="1" x14ac:dyDescent="0.4">
      <c r="B66" s="31"/>
      <c r="C66" s="32" t="s">
        <v>20</v>
      </c>
      <c r="D66" s="32" t="s">
        <v>21</v>
      </c>
      <c r="E66" s="32" t="s">
        <v>22</v>
      </c>
      <c r="F66" s="33" t="s">
        <v>23</v>
      </c>
      <c r="L66" s="24"/>
      <c r="M66" s="24"/>
    </row>
    <row r="67" spans="2:13" x14ac:dyDescent="0.35">
      <c r="B67" s="129"/>
      <c r="C67" s="117" t="s">
        <v>78</v>
      </c>
      <c r="D67" s="35">
        <v>6</v>
      </c>
      <c r="E67" s="36" t="s">
        <v>29</v>
      </c>
      <c r="F67" s="37"/>
      <c r="L67" s="24"/>
      <c r="M67" s="24"/>
    </row>
    <row r="68" spans="2:13" x14ac:dyDescent="0.35">
      <c r="B68" s="130"/>
      <c r="C68" s="86">
        <v>2</v>
      </c>
      <c r="D68" s="87">
        <v>12</v>
      </c>
      <c r="E68" s="88" t="s">
        <v>12</v>
      </c>
      <c r="F68" s="89"/>
      <c r="L68" s="24"/>
      <c r="M68" s="24"/>
    </row>
    <row r="69" spans="2:13" ht="16.5" customHeight="1" thickBot="1" x14ac:dyDescent="0.4">
      <c r="B69" s="131"/>
      <c r="C69" s="119">
        <v>1</v>
      </c>
      <c r="D69" s="90">
        <v>4</v>
      </c>
      <c r="E69" s="91" t="s">
        <v>12</v>
      </c>
      <c r="F69" s="92"/>
      <c r="L69" s="24"/>
      <c r="M69" s="24"/>
    </row>
    <row r="70" spans="2:13" ht="16.5" customHeight="1" thickBot="1" x14ac:dyDescent="0.4">
      <c r="B70" s="99" t="s">
        <v>79</v>
      </c>
      <c r="C70" s="82" t="s">
        <v>80</v>
      </c>
      <c r="D70" s="106" t="s">
        <v>134</v>
      </c>
      <c r="E70" s="106" t="s">
        <v>15</v>
      </c>
      <c r="F70" s="83">
        <v>2</v>
      </c>
      <c r="G70" s="54"/>
      <c r="H70" s="55"/>
      <c r="J70" s="26"/>
    </row>
    <row r="71" spans="2:13" ht="16.5" customHeight="1" thickBot="1" x14ac:dyDescent="0.4">
      <c r="B71" s="102"/>
      <c r="C71" s="120" t="s">
        <v>81</v>
      </c>
      <c r="D71" s="103">
        <v>18</v>
      </c>
      <c r="E71" s="104" t="s">
        <v>29</v>
      </c>
      <c r="F71" s="105"/>
      <c r="L71" s="24"/>
      <c r="M71" s="24"/>
    </row>
    <row r="72" spans="2:13" ht="16.5" customHeight="1" thickBot="1" x14ac:dyDescent="0.4">
      <c r="B72" s="70" t="s">
        <v>82</v>
      </c>
      <c r="C72" s="121">
        <v>1</v>
      </c>
      <c r="D72" s="108" t="s">
        <v>85</v>
      </c>
      <c r="E72" s="108" t="s">
        <v>12</v>
      </c>
      <c r="F72" s="72">
        <v>2</v>
      </c>
      <c r="G72" s="54"/>
      <c r="H72" s="55"/>
      <c r="J72" s="26"/>
    </row>
    <row r="73" spans="2:13" ht="16.5" customHeight="1" thickBot="1" x14ac:dyDescent="0.4">
      <c r="E73" s="40" t="s">
        <v>38</v>
      </c>
      <c r="F73" s="41">
        <f>SUM(F70:F72)</f>
        <v>4</v>
      </c>
      <c r="L73" s="24"/>
      <c r="M73" s="56"/>
    </row>
    <row r="74" spans="2:13" x14ac:dyDescent="0.35">
      <c r="L74" s="24"/>
      <c r="M74" s="56"/>
    </row>
    <row r="75" spans="2:13" x14ac:dyDescent="0.35">
      <c r="B75" s="43"/>
      <c r="C75" s="44"/>
      <c r="D75" s="44"/>
      <c r="E75" s="44"/>
      <c r="F75" s="45"/>
      <c r="L75" s="24"/>
      <c r="M75" s="24"/>
    </row>
    <row r="76" spans="2:13" ht="16.5" customHeight="1" thickBot="1" x14ac:dyDescent="0.4">
      <c r="L76" s="24"/>
      <c r="M76" s="24"/>
    </row>
    <row r="77" spans="2:13" ht="19.5" customHeight="1" thickBot="1" x14ac:dyDescent="0.4">
      <c r="B77" s="126" t="s">
        <v>83</v>
      </c>
      <c r="C77" s="127"/>
      <c r="D77" s="127"/>
      <c r="E77" s="127"/>
      <c r="F77" s="128"/>
      <c r="L77" s="24"/>
      <c r="M77" s="24"/>
    </row>
    <row r="78" spans="2:13" ht="29.25" customHeight="1" thickBot="1" x14ac:dyDescent="0.4">
      <c r="B78" s="31"/>
      <c r="C78" s="32" t="s">
        <v>20</v>
      </c>
      <c r="D78" s="32" t="s">
        <v>21</v>
      </c>
      <c r="E78" s="32" t="s">
        <v>22</v>
      </c>
      <c r="F78" s="33" t="s">
        <v>23</v>
      </c>
      <c r="L78" s="24"/>
      <c r="M78" s="24"/>
    </row>
    <row r="79" spans="2:13" x14ac:dyDescent="0.35">
      <c r="B79" s="132"/>
      <c r="C79" s="117" t="s">
        <v>84</v>
      </c>
      <c r="D79" s="35">
        <v>18</v>
      </c>
      <c r="E79" s="36" t="s">
        <v>29</v>
      </c>
      <c r="F79" s="37"/>
      <c r="L79" s="24"/>
      <c r="M79" s="24"/>
    </row>
    <row r="80" spans="2:13" x14ac:dyDescent="0.35">
      <c r="B80" s="130"/>
      <c r="C80" s="47">
        <v>1</v>
      </c>
      <c r="D80" s="48">
        <v>2</v>
      </c>
      <c r="E80" s="49" t="s">
        <v>12</v>
      </c>
      <c r="F80" s="50"/>
      <c r="L80" s="24"/>
      <c r="M80" s="24"/>
    </row>
    <row r="81" spans="2:13" ht="16.5" customHeight="1" thickBot="1" x14ac:dyDescent="0.4">
      <c r="B81" s="130"/>
      <c r="C81" s="122">
        <v>2</v>
      </c>
      <c r="D81" s="93">
        <v>2</v>
      </c>
      <c r="E81" s="69" t="s">
        <v>12</v>
      </c>
      <c r="F81" s="94"/>
      <c r="L81" s="24"/>
      <c r="M81" s="24"/>
    </row>
    <row r="82" spans="2:13" ht="16.5" customHeight="1" thickBot="1" x14ac:dyDescent="0.4">
      <c r="B82" s="53" t="s">
        <v>85</v>
      </c>
      <c r="C82" s="38" t="s">
        <v>86</v>
      </c>
      <c r="D82" s="111" t="s">
        <v>101</v>
      </c>
      <c r="E82" s="111" t="s">
        <v>29</v>
      </c>
      <c r="F82" s="39">
        <v>2</v>
      </c>
      <c r="L82" s="24"/>
      <c r="M82" s="24"/>
    </row>
    <row r="83" spans="2:13" ht="16.5" customHeight="1" thickBot="1" x14ac:dyDescent="0.4">
      <c r="E83" s="40" t="s">
        <v>38</v>
      </c>
      <c r="F83" s="41">
        <f>SUM(F82:F82)</f>
        <v>2</v>
      </c>
      <c r="L83" s="24"/>
      <c r="M83" s="24"/>
    </row>
    <row r="84" spans="2:13" x14ac:dyDescent="0.35">
      <c r="L84" s="24"/>
      <c r="M84" s="61"/>
    </row>
    <row r="85" spans="2:13" x14ac:dyDescent="0.35">
      <c r="B85" s="43"/>
      <c r="C85" s="44"/>
      <c r="D85" s="44"/>
      <c r="E85" s="44"/>
      <c r="F85" s="45"/>
      <c r="L85" s="24"/>
      <c r="M85" s="24"/>
    </row>
    <row r="86" spans="2:13" ht="16.5" customHeight="1" thickBot="1" x14ac:dyDescent="0.4">
      <c r="L86" s="62"/>
      <c r="M86" s="24"/>
    </row>
    <row r="87" spans="2:13" ht="19.5" customHeight="1" thickBot="1" x14ac:dyDescent="0.4">
      <c r="B87" s="126" t="s">
        <v>87</v>
      </c>
      <c r="C87" s="127"/>
      <c r="D87" s="127"/>
      <c r="E87" s="127"/>
      <c r="F87" s="128"/>
      <c r="L87" s="24"/>
      <c r="M87" s="24"/>
    </row>
    <row r="88" spans="2:13" ht="29.25" customHeight="1" thickBot="1" x14ac:dyDescent="0.4">
      <c r="B88" s="31"/>
      <c r="C88" s="32" t="s">
        <v>20</v>
      </c>
      <c r="D88" s="32" t="s">
        <v>21</v>
      </c>
      <c r="E88" s="32" t="s">
        <v>22</v>
      </c>
      <c r="F88" s="33" t="s">
        <v>23</v>
      </c>
      <c r="L88" s="24"/>
      <c r="M88" s="24"/>
    </row>
    <row r="89" spans="2:13" x14ac:dyDescent="0.35">
      <c r="B89" s="129"/>
      <c r="C89" s="117">
        <v>1</v>
      </c>
      <c r="D89" s="35">
        <v>6</v>
      </c>
      <c r="E89" s="73" t="s">
        <v>12</v>
      </c>
      <c r="F89" s="37"/>
      <c r="J89" s="26"/>
      <c r="K89" s="24"/>
    </row>
    <row r="90" spans="2:13" x14ac:dyDescent="0.35">
      <c r="B90" s="130"/>
      <c r="C90" s="47">
        <v>2</v>
      </c>
      <c r="D90" s="48">
        <v>4</v>
      </c>
      <c r="E90" s="49" t="s">
        <v>12</v>
      </c>
      <c r="F90" s="50"/>
      <c r="J90" s="26"/>
      <c r="K90" s="24"/>
    </row>
    <row r="91" spans="2:13" ht="16.5" customHeight="1" thickBot="1" x14ac:dyDescent="0.4">
      <c r="B91" s="131"/>
      <c r="C91" s="118" t="s">
        <v>88</v>
      </c>
      <c r="D91" s="74">
        <v>10</v>
      </c>
      <c r="E91" s="78" t="s">
        <v>29</v>
      </c>
      <c r="F91" s="75"/>
      <c r="J91" s="26"/>
      <c r="K91" s="24"/>
    </row>
    <row r="92" spans="2:13" ht="16.5" customHeight="1" thickBot="1" x14ac:dyDescent="0.4">
      <c r="B92" s="99" t="s">
        <v>89</v>
      </c>
      <c r="C92" s="82" t="s">
        <v>86</v>
      </c>
      <c r="D92" s="106" t="s">
        <v>139</v>
      </c>
      <c r="E92" s="106" t="s">
        <v>29</v>
      </c>
      <c r="F92" s="83">
        <v>2</v>
      </c>
      <c r="L92" s="24"/>
    </row>
    <row r="93" spans="2:13" ht="16.5" customHeight="1" thickBot="1" x14ac:dyDescent="0.4">
      <c r="B93" s="102"/>
      <c r="C93" s="120" t="s">
        <v>78</v>
      </c>
      <c r="D93" s="103">
        <v>2</v>
      </c>
      <c r="E93" s="77" t="s">
        <v>29</v>
      </c>
      <c r="F93" s="105"/>
      <c r="L93" s="24"/>
    </row>
    <row r="94" spans="2:13" ht="16.5" customHeight="1" thickBot="1" x14ac:dyDescent="0.4">
      <c r="B94" s="70" t="s">
        <v>90</v>
      </c>
      <c r="C94" s="71" t="s">
        <v>86</v>
      </c>
      <c r="D94" s="125" t="s">
        <v>140</v>
      </c>
      <c r="E94" s="108" t="s">
        <v>29</v>
      </c>
      <c r="F94" s="72">
        <v>2</v>
      </c>
      <c r="L94" s="24"/>
    </row>
    <row r="95" spans="2:13" ht="16.5" customHeight="1" thickBot="1" x14ac:dyDescent="0.4">
      <c r="E95" s="40" t="s">
        <v>38</v>
      </c>
      <c r="F95" s="41">
        <f>SUM(F92:F94)</f>
        <v>4</v>
      </c>
      <c r="M95" s="24"/>
    </row>
    <row r="96" spans="2:13" x14ac:dyDescent="0.35">
      <c r="M96" s="24"/>
    </row>
    <row r="97" spans="2:13" x14ac:dyDescent="0.35">
      <c r="B97" s="43"/>
      <c r="C97" s="44"/>
      <c r="D97" s="44"/>
      <c r="E97" s="44"/>
      <c r="F97" s="45"/>
      <c r="M97" s="24"/>
    </row>
    <row r="98" spans="2:13" ht="16.5" customHeight="1" thickBot="1" x14ac:dyDescent="0.4"/>
    <row r="99" spans="2:13" ht="19.5" customHeight="1" thickBot="1" x14ac:dyDescent="0.4">
      <c r="B99" s="126" t="s">
        <v>91</v>
      </c>
      <c r="C99" s="127"/>
      <c r="D99" s="127"/>
      <c r="E99" s="127"/>
      <c r="F99" s="128"/>
      <c r="L99" s="24"/>
      <c r="M99" s="24"/>
    </row>
    <row r="100" spans="2:13" ht="29.25" customHeight="1" thickBot="1" x14ac:dyDescent="0.4">
      <c r="B100" s="31"/>
      <c r="C100" s="32" t="s">
        <v>20</v>
      </c>
      <c r="D100" s="32" t="s">
        <v>21</v>
      </c>
      <c r="E100" s="32" t="s">
        <v>22</v>
      </c>
      <c r="F100" s="33" t="s">
        <v>23</v>
      </c>
      <c r="L100" s="24"/>
      <c r="M100" s="24"/>
    </row>
    <row r="101" spans="2:13" x14ac:dyDescent="0.35">
      <c r="B101" s="129"/>
      <c r="C101" s="117" t="s">
        <v>92</v>
      </c>
      <c r="D101" s="35">
        <v>10</v>
      </c>
      <c r="E101" s="73" t="s">
        <v>12</v>
      </c>
      <c r="F101" s="37"/>
      <c r="J101" s="26"/>
      <c r="K101" s="24"/>
    </row>
    <row r="102" spans="2:13" x14ac:dyDescent="0.35">
      <c r="B102" s="130"/>
      <c r="C102" s="47" t="s">
        <v>78</v>
      </c>
      <c r="D102" s="48">
        <v>20</v>
      </c>
      <c r="E102" s="49" t="s">
        <v>29</v>
      </c>
      <c r="F102" s="50"/>
      <c r="J102" s="26"/>
      <c r="K102" s="24"/>
    </row>
    <row r="103" spans="2:13" ht="16.5" customHeight="1" thickBot="1" x14ac:dyDescent="0.4">
      <c r="B103" s="131"/>
      <c r="C103" s="123" t="s">
        <v>86</v>
      </c>
      <c r="D103" s="95">
        <v>4</v>
      </c>
      <c r="E103" s="96" t="s">
        <v>29</v>
      </c>
      <c r="F103" s="97"/>
      <c r="J103" s="26"/>
      <c r="K103" s="24"/>
    </row>
    <row r="104" spans="2:13" ht="16.5" customHeight="1" thickBot="1" x14ac:dyDescent="0.4">
      <c r="B104" s="53" t="s">
        <v>93</v>
      </c>
      <c r="C104" s="71" t="s">
        <v>88</v>
      </c>
      <c r="D104" s="108" t="s">
        <v>125</v>
      </c>
      <c r="E104" s="108" t="s">
        <v>29</v>
      </c>
      <c r="F104" s="72">
        <v>2</v>
      </c>
      <c r="L104" s="24"/>
    </row>
    <row r="105" spans="2:13" ht="16.5" customHeight="1" thickBot="1" x14ac:dyDescent="0.4">
      <c r="E105" s="40" t="s">
        <v>38</v>
      </c>
      <c r="F105" s="41">
        <f>SUM(F104:F104)</f>
        <v>2</v>
      </c>
      <c r="M105" s="24"/>
    </row>
    <row r="107" spans="2:13" x14ac:dyDescent="0.35">
      <c r="B107" s="43"/>
      <c r="C107" s="44"/>
      <c r="D107" s="44"/>
      <c r="E107" s="44"/>
      <c r="F107" s="45"/>
      <c r="M107" s="24"/>
    </row>
    <row r="108" spans="2:13" ht="16.5" customHeight="1" thickBot="1" x14ac:dyDescent="0.4"/>
    <row r="109" spans="2:13" ht="19.5" customHeight="1" thickBot="1" x14ac:dyDescent="0.4">
      <c r="B109" s="126" t="s">
        <v>94</v>
      </c>
      <c r="C109" s="127"/>
      <c r="D109" s="127"/>
      <c r="E109" s="127"/>
      <c r="F109" s="128"/>
      <c r="L109" s="24"/>
      <c r="M109" s="24"/>
    </row>
    <row r="110" spans="2:13" ht="29.25" customHeight="1" thickBot="1" x14ac:dyDescent="0.4">
      <c r="B110" s="31"/>
      <c r="C110" s="32" t="s">
        <v>20</v>
      </c>
      <c r="D110" s="32" t="s">
        <v>21</v>
      </c>
      <c r="E110" s="32" t="s">
        <v>22</v>
      </c>
      <c r="F110" s="33" t="s">
        <v>23</v>
      </c>
      <c r="L110" s="24"/>
      <c r="M110" s="24"/>
    </row>
    <row r="111" spans="2:13" x14ac:dyDescent="0.35">
      <c r="B111" s="129"/>
      <c r="C111" s="117" t="s">
        <v>78</v>
      </c>
      <c r="D111" s="35">
        <v>3</v>
      </c>
      <c r="E111" s="73" t="s">
        <v>29</v>
      </c>
      <c r="F111" s="37"/>
      <c r="J111" s="26"/>
      <c r="K111" s="24"/>
    </row>
    <row r="112" spans="2:13" x14ac:dyDescent="0.35">
      <c r="B112" s="130"/>
      <c r="C112" s="47">
        <v>1</v>
      </c>
      <c r="D112" s="48">
        <v>8</v>
      </c>
      <c r="E112" s="98" t="s">
        <v>12</v>
      </c>
      <c r="F112" s="50"/>
      <c r="J112" s="26"/>
      <c r="K112" s="24"/>
    </row>
    <row r="113" spans="2:13" ht="16.5" customHeight="1" thickBot="1" x14ac:dyDescent="0.4">
      <c r="B113" s="131"/>
      <c r="C113" s="123" t="s">
        <v>95</v>
      </c>
      <c r="D113" s="95">
        <v>17</v>
      </c>
      <c r="E113" s="96" t="s">
        <v>29</v>
      </c>
      <c r="F113" s="97"/>
      <c r="J113" s="26"/>
      <c r="K113" s="24"/>
    </row>
    <row r="114" spans="2:13" x14ac:dyDescent="0.35">
      <c r="B114" s="57" t="s">
        <v>96</v>
      </c>
      <c r="C114" s="124">
        <v>2</v>
      </c>
      <c r="D114" s="109" t="s">
        <v>142</v>
      </c>
      <c r="E114" s="112" t="s">
        <v>28</v>
      </c>
      <c r="F114" s="65">
        <v>2</v>
      </c>
      <c r="L114" s="24"/>
    </row>
    <row r="115" spans="2:13" ht="16.5" customHeight="1" thickBot="1" x14ac:dyDescent="0.4">
      <c r="B115" s="70" t="s">
        <v>97</v>
      </c>
      <c r="C115" s="71" t="s">
        <v>86</v>
      </c>
      <c r="D115" s="108" t="s">
        <v>141</v>
      </c>
      <c r="E115" s="108" t="s">
        <v>29</v>
      </c>
      <c r="F115" s="72">
        <v>2</v>
      </c>
      <c r="L115" s="24"/>
    </row>
    <row r="116" spans="2:13" ht="16.5" customHeight="1" thickBot="1" x14ac:dyDescent="0.4">
      <c r="E116" s="40" t="s">
        <v>38</v>
      </c>
      <c r="F116" s="41">
        <f>SUM(F114:F115)</f>
        <v>4</v>
      </c>
      <c r="M116" s="24"/>
    </row>
    <row r="118" spans="2:13" x14ac:dyDescent="0.35">
      <c r="B118" s="43"/>
      <c r="C118" s="44"/>
      <c r="D118" s="44"/>
      <c r="E118" s="44"/>
      <c r="F118" s="45"/>
      <c r="L118" s="24"/>
      <c r="M118" s="24"/>
    </row>
    <row r="119" spans="2:13" ht="16.5" customHeight="1" thickBot="1" x14ac:dyDescent="0.4">
      <c r="L119" s="62"/>
      <c r="M119" s="24"/>
    </row>
    <row r="120" spans="2:13" ht="22" customHeight="1" thickBot="1" x14ac:dyDescent="0.4">
      <c r="B120" s="133" t="s">
        <v>98</v>
      </c>
      <c r="C120" s="127"/>
      <c r="D120" s="127"/>
      <c r="E120" s="127"/>
      <c r="F120" s="128"/>
      <c r="G120" s="24"/>
      <c r="H120" s="55"/>
      <c r="J120" s="26"/>
    </row>
    <row r="121" spans="2:13" ht="16.5" customHeight="1" thickBot="1" x14ac:dyDescent="0.4">
      <c r="L121" s="62"/>
      <c r="M121" s="24"/>
    </row>
    <row r="122" spans="2:13" ht="19.5" customHeight="1" thickBot="1" x14ac:dyDescent="0.4">
      <c r="B122" s="126" t="s">
        <v>99</v>
      </c>
      <c r="C122" s="127"/>
      <c r="D122" s="127"/>
      <c r="E122" s="127"/>
      <c r="F122" s="128"/>
      <c r="L122" s="24"/>
      <c r="M122" s="24"/>
    </row>
    <row r="123" spans="2:13" ht="29.25" customHeight="1" thickBot="1" x14ac:dyDescent="0.4">
      <c r="B123" s="31"/>
      <c r="C123" s="32" t="s">
        <v>20</v>
      </c>
      <c r="D123" s="32" t="s">
        <v>21</v>
      </c>
      <c r="E123" s="32" t="s">
        <v>22</v>
      </c>
      <c r="F123" s="33" t="s">
        <v>23</v>
      </c>
      <c r="L123" s="24"/>
      <c r="M123" s="24"/>
    </row>
    <row r="124" spans="2:13" ht="16.5" customHeight="1" thickBot="1" x14ac:dyDescent="0.4">
      <c r="B124" s="85"/>
      <c r="C124" s="117" t="s">
        <v>100</v>
      </c>
      <c r="D124" s="35">
        <v>400</v>
      </c>
      <c r="E124" s="77" t="s">
        <v>47</v>
      </c>
      <c r="F124" s="37"/>
      <c r="J124" s="26"/>
      <c r="K124" s="24"/>
    </row>
    <row r="125" spans="2:13" ht="16.5" customHeight="1" thickBot="1" x14ac:dyDescent="0.4">
      <c r="B125" s="53" t="s">
        <v>101</v>
      </c>
      <c r="C125" s="38" t="s">
        <v>102</v>
      </c>
      <c r="D125" s="111" t="s">
        <v>135</v>
      </c>
      <c r="E125" s="108" t="s">
        <v>50</v>
      </c>
      <c r="F125" s="39">
        <v>2</v>
      </c>
      <c r="L125" s="24"/>
    </row>
    <row r="126" spans="2:13" ht="16.5" customHeight="1" thickBot="1" x14ac:dyDescent="0.4">
      <c r="E126" s="40" t="s">
        <v>38</v>
      </c>
      <c r="F126" s="41">
        <f>SUM(F125:F125)</f>
        <v>2</v>
      </c>
      <c r="M126" s="24"/>
    </row>
    <row r="128" spans="2:13" x14ac:dyDescent="0.35">
      <c r="B128" s="43"/>
      <c r="C128" s="44"/>
      <c r="D128" s="44"/>
      <c r="E128" s="44"/>
      <c r="F128" s="45"/>
      <c r="L128" s="24"/>
      <c r="M128" s="24"/>
    </row>
    <row r="129" spans="2:13" ht="16.5" customHeight="1" thickBot="1" x14ac:dyDescent="0.4">
      <c r="L129" s="62"/>
      <c r="M129" s="24"/>
    </row>
    <row r="130" spans="2:13" ht="19.5" customHeight="1" thickBot="1" x14ac:dyDescent="0.4">
      <c r="B130" s="126" t="s">
        <v>103</v>
      </c>
      <c r="C130" s="127"/>
      <c r="D130" s="127"/>
      <c r="E130" s="127"/>
      <c r="F130" s="128"/>
      <c r="L130" s="24"/>
      <c r="M130" s="24"/>
    </row>
    <row r="131" spans="2:13" ht="29.25" customHeight="1" thickBot="1" x14ac:dyDescent="0.4">
      <c r="B131" s="31"/>
      <c r="C131" s="32" t="s">
        <v>20</v>
      </c>
      <c r="D131" s="32" t="s">
        <v>21</v>
      </c>
      <c r="E131" s="32" t="s">
        <v>22</v>
      </c>
      <c r="F131" s="33" t="s">
        <v>23</v>
      </c>
      <c r="L131" s="24"/>
      <c r="M131" s="24"/>
    </row>
    <row r="132" spans="2:13" x14ac:dyDescent="0.35">
      <c r="B132" s="129"/>
      <c r="C132" s="117" t="s">
        <v>56</v>
      </c>
      <c r="D132" s="35">
        <v>20</v>
      </c>
      <c r="E132" s="73" t="s">
        <v>42</v>
      </c>
      <c r="F132" s="37"/>
      <c r="J132" s="26"/>
      <c r="K132" s="24"/>
    </row>
    <row r="133" spans="2:13" x14ac:dyDescent="0.35">
      <c r="B133" s="130"/>
      <c r="C133" s="47" t="s">
        <v>26</v>
      </c>
      <c r="D133" s="48">
        <v>6</v>
      </c>
      <c r="E133" s="15"/>
      <c r="F133" s="50"/>
      <c r="J133" s="26"/>
      <c r="K133" s="24"/>
    </row>
    <row r="134" spans="2:13" ht="16.5" customHeight="1" thickBot="1" x14ac:dyDescent="0.4">
      <c r="B134" s="131"/>
      <c r="C134" s="123" t="s">
        <v>104</v>
      </c>
      <c r="D134" s="95">
        <v>3</v>
      </c>
      <c r="E134" s="96" t="s">
        <v>53</v>
      </c>
      <c r="F134" s="97"/>
      <c r="J134" s="26"/>
      <c r="K134" s="24"/>
    </row>
    <row r="135" spans="2:13" ht="16.5" customHeight="1" thickBot="1" x14ac:dyDescent="0.4">
      <c r="B135" s="53" t="s">
        <v>105</v>
      </c>
      <c r="C135" s="38" t="s">
        <v>106</v>
      </c>
      <c r="D135" s="111" t="s">
        <v>136</v>
      </c>
      <c r="E135" s="108" t="s">
        <v>26</v>
      </c>
      <c r="F135" s="39">
        <v>2</v>
      </c>
      <c r="L135" s="24"/>
    </row>
    <row r="136" spans="2:13" ht="16.5" customHeight="1" thickBot="1" x14ac:dyDescent="0.4">
      <c r="E136" s="40" t="s">
        <v>38</v>
      </c>
      <c r="F136" s="41">
        <f>SUM(F135:F135)</f>
        <v>2</v>
      </c>
      <c r="M136" s="24"/>
    </row>
    <row r="138" spans="2:13" x14ac:dyDescent="0.35">
      <c r="B138" s="43"/>
      <c r="C138" s="44"/>
      <c r="D138" s="44"/>
      <c r="E138" s="44"/>
      <c r="F138" s="45"/>
      <c r="L138" s="24"/>
      <c r="M138" s="24"/>
    </row>
    <row r="139" spans="2:13" ht="16.5" customHeight="1" thickBot="1" x14ac:dyDescent="0.4">
      <c r="L139" s="62"/>
      <c r="M139" s="24"/>
    </row>
    <row r="140" spans="2:13" ht="19.5" customHeight="1" thickBot="1" x14ac:dyDescent="0.4">
      <c r="B140" s="126" t="s">
        <v>107</v>
      </c>
      <c r="C140" s="127"/>
      <c r="D140" s="127"/>
      <c r="E140" s="127"/>
      <c r="F140" s="128"/>
      <c r="L140" s="24"/>
      <c r="M140" s="24"/>
    </row>
    <row r="141" spans="2:13" ht="29.25" customHeight="1" thickBot="1" x14ac:dyDescent="0.4">
      <c r="B141" s="31"/>
      <c r="C141" s="32" t="s">
        <v>20</v>
      </c>
      <c r="D141" s="32" t="s">
        <v>21</v>
      </c>
      <c r="E141" s="32" t="s">
        <v>22</v>
      </c>
      <c r="F141" s="33" t="s">
        <v>23</v>
      </c>
      <c r="L141" s="24"/>
      <c r="M141" s="24"/>
    </row>
    <row r="142" spans="2:13" x14ac:dyDescent="0.35">
      <c r="B142" s="129"/>
      <c r="C142" s="117" t="s">
        <v>56</v>
      </c>
      <c r="D142" s="35">
        <v>100</v>
      </c>
      <c r="E142" s="73" t="s">
        <v>42</v>
      </c>
      <c r="F142" s="37"/>
      <c r="J142" s="26"/>
      <c r="K142" s="24"/>
    </row>
    <row r="143" spans="2:13" x14ac:dyDescent="0.35">
      <c r="B143" s="130"/>
      <c r="C143" s="47" t="s">
        <v>100</v>
      </c>
      <c r="D143" s="48">
        <v>90</v>
      </c>
      <c r="E143" s="98" t="s">
        <v>47</v>
      </c>
      <c r="F143" s="50"/>
      <c r="J143" s="26"/>
      <c r="K143" s="24"/>
    </row>
    <row r="144" spans="2:13" ht="16.5" customHeight="1" thickBot="1" x14ac:dyDescent="0.4">
      <c r="B144" s="131"/>
      <c r="C144" s="123" t="s">
        <v>92</v>
      </c>
      <c r="D144" s="95">
        <v>30</v>
      </c>
      <c r="E144" s="96" t="s">
        <v>28</v>
      </c>
      <c r="F144" s="97"/>
      <c r="J144" s="26"/>
      <c r="K144" s="24"/>
    </row>
    <row r="145" spans="2:13" x14ac:dyDescent="0.35">
      <c r="B145" s="99" t="s">
        <v>108</v>
      </c>
      <c r="C145" s="82" t="s">
        <v>109</v>
      </c>
      <c r="D145" s="106" t="s">
        <v>137</v>
      </c>
      <c r="E145" s="113" t="s">
        <v>64</v>
      </c>
      <c r="F145" s="83">
        <v>2</v>
      </c>
      <c r="L145" s="24"/>
    </row>
    <row r="146" spans="2:13" ht="16.5" customHeight="1" thickBot="1" x14ac:dyDescent="0.4">
      <c r="B146" s="58" t="s">
        <v>110</v>
      </c>
      <c r="C146" s="59" t="s">
        <v>111</v>
      </c>
      <c r="D146" s="110" t="s">
        <v>138</v>
      </c>
      <c r="E146" s="110" t="s">
        <v>64</v>
      </c>
      <c r="F146" s="60">
        <v>2</v>
      </c>
      <c r="L146" s="24"/>
    </row>
    <row r="147" spans="2:13" ht="16.5" customHeight="1" thickBot="1" x14ac:dyDescent="0.4">
      <c r="E147" s="40" t="s">
        <v>38</v>
      </c>
      <c r="F147" s="41">
        <f>SUM(F145:F146)</f>
        <v>4</v>
      </c>
      <c r="M147" s="24"/>
    </row>
    <row r="149" spans="2:13" x14ac:dyDescent="0.35">
      <c r="B149" s="43"/>
      <c r="C149" s="44"/>
      <c r="D149" s="44"/>
      <c r="E149" s="44"/>
      <c r="F149" s="45"/>
      <c r="L149" s="24"/>
      <c r="M149" s="24"/>
    </row>
    <row r="150" spans="2:13" ht="16.5" customHeight="1" thickBot="1" x14ac:dyDescent="0.4">
      <c r="L150" s="62"/>
      <c r="M150" s="24"/>
    </row>
    <row r="151" spans="2:13" ht="22" customHeight="1" thickBot="1" x14ac:dyDescent="0.4">
      <c r="B151" s="133" t="s">
        <v>112</v>
      </c>
      <c r="C151" s="127"/>
      <c r="D151" s="127"/>
      <c r="E151" s="127"/>
      <c r="F151" s="128"/>
      <c r="G151" s="24"/>
      <c r="H151" s="55"/>
      <c r="J151" s="26"/>
    </row>
    <row r="152" spans="2:13" ht="16.5" customHeight="1" thickBot="1" x14ac:dyDescent="0.4">
      <c r="L152" s="62"/>
      <c r="M152" s="24"/>
    </row>
    <row r="153" spans="2:13" ht="19.5" customHeight="1" thickBot="1" x14ac:dyDescent="0.4">
      <c r="B153" s="126" t="s">
        <v>113</v>
      </c>
      <c r="C153" s="127"/>
      <c r="D153" s="127"/>
      <c r="E153" s="127"/>
      <c r="F153" s="128"/>
      <c r="L153" s="24"/>
      <c r="M153" s="24"/>
    </row>
    <row r="154" spans="2:13" ht="29.25" customHeight="1" thickBot="1" x14ac:dyDescent="0.4">
      <c r="B154" s="31"/>
      <c r="C154" s="32" t="s">
        <v>20</v>
      </c>
      <c r="D154" s="32" t="s">
        <v>21</v>
      </c>
      <c r="E154" s="32" t="s">
        <v>22</v>
      </c>
      <c r="F154" s="33" t="s">
        <v>23</v>
      </c>
      <c r="L154" s="24"/>
      <c r="M154" s="24"/>
    </row>
    <row r="155" spans="2:13" ht="16.5" customHeight="1" thickBot="1" x14ac:dyDescent="0.4">
      <c r="B155" s="85"/>
      <c r="C155" s="117" t="s">
        <v>92</v>
      </c>
      <c r="D155" s="35">
        <v>16</v>
      </c>
      <c r="E155" s="76"/>
      <c r="F155" s="37"/>
      <c r="J155" s="26"/>
      <c r="K155" s="24"/>
    </row>
    <row r="156" spans="2:13" ht="16.5" customHeight="1" thickBot="1" x14ac:dyDescent="0.4">
      <c r="B156" s="53" t="s">
        <v>114</v>
      </c>
      <c r="C156" s="38" t="s">
        <v>115</v>
      </c>
      <c r="D156" s="111"/>
      <c r="E156" s="101"/>
      <c r="F156" s="39">
        <v>2</v>
      </c>
      <c r="L156" s="24"/>
    </row>
    <row r="157" spans="2:13" ht="16.5" customHeight="1" thickBot="1" x14ac:dyDescent="0.4">
      <c r="E157" s="40" t="s">
        <v>38</v>
      </c>
      <c r="F157" s="41">
        <f>SUM(F156:F156)</f>
        <v>2</v>
      </c>
      <c r="M157" s="24"/>
    </row>
    <row r="158" spans="2:13" x14ac:dyDescent="0.35">
      <c r="E158" s="114"/>
      <c r="F158" s="28"/>
      <c r="M158" s="24"/>
    </row>
    <row r="159" spans="2:13" x14ac:dyDescent="0.35">
      <c r="B159" s="43"/>
      <c r="C159" s="44"/>
      <c r="D159" s="44"/>
      <c r="E159" s="44"/>
      <c r="F159" s="45"/>
      <c r="L159" s="24"/>
      <c r="M159" s="24"/>
    </row>
    <row r="160" spans="2:13" ht="16.5" customHeight="1" thickBot="1" x14ac:dyDescent="0.4">
      <c r="L160" s="62"/>
      <c r="M160" s="24"/>
    </row>
    <row r="161" spans="2:13" ht="19.5" customHeight="1" thickBot="1" x14ac:dyDescent="0.4">
      <c r="B161" s="126" t="s">
        <v>116</v>
      </c>
      <c r="C161" s="127"/>
      <c r="D161" s="127"/>
      <c r="E161" s="127"/>
      <c r="F161" s="128"/>
      <c r="L161" s="24"/>
      <c r="M161" s="24"/>
    </row>
    <row r="162" spans="2:13" ht="29.25" customHeight="1" thickBot="1" x14ac:dyDescent="0.4">
      <c r="B162" s="31"/>
      <c r="C162" s="32" t="s">
        <v>20</v>
      </c>
      <c r="D162" s="32" t="s">
        <v>21</v>
      </c>
      <c r="E162" s="32" t="s">
        <v>22</v>
      </c>
      <c r="F162" s="33" t="s">
        <v>23</v>
      </c>
      <c r="L162" s="24"/>
      <c r="M162" s="24"/>
    </row>
    <row r="163" spans="2:13" x14ac:dyDescent="0.35">
      <c r="B163" s="132"/>
      <c r="C163" s="117" t="s">
        <v>117</v>
      </c>
      <c r="D163" s="35">
        <v>5</v>
      </c>
      <c r="E163" s="76"/>
      <c r="F163" s="37"/>
      <c r="J163" s="26"/>
      <c r="K163" s="24"/>
    </row>
    <row r="164" spans="2:13" ht="16.5" customHeight="1" thickBot="1" x14ac:dyDescent="0.4">
      <c r="B164" s="130"/>
      <c r="C164" s="86" t="s">
        <v>118</v>
      </c>
      <c r="D164" s="87">
        <v>2</v>
      </c>
      <c r="E164" s="100"/>
      <c r="F164" s="89"/>
      <c r="J164" s="26"/>
      <c r="K164" s="24"/>
    </row>
    <row r="165" spans="2:13" ht="16.5" customHeight="1" thickBot="1" x14ac:dyDescent="0.4">
      <c r="B165" s="53" t="s">
        <v>119</v>
      </c>
      <c r="C165" s="38" t="s">
        <v>120</v>
      </c>
      <c r="D165" s="111"/>
      <c r="E165" s="101"/>
      <c r="F165" s="39">
        <v>2</v>
      </c>
      <c r="L165" s="24"/>
    </row>
    <row r="166" spans="2:13" ht="16.5" customHeight="1" thickBot="1" x14ac:dyDescent="0.4">
      <c r="E166" s="40" t="s">
        <v>38</v>
      </c>
      <c r="F166" s="41">
        <f>SUM(F165:F165)</f>
        <v>2</v>
      </c>
      <c r="M166" s="24"/>
    </row>
    <row r="168" spans="2:13" x14ac:dyDescent="0.35">
      <c r="B168" s="43"/>
      <c r="C168" s="44"/>
      <c r="D168" s="44"/>
      <c r="E168" s="44"/>
      <c r="F168" s="45"/>
      <c r="L168" s="24"/>
      <c r="M168" s="24"/>
    </row>
    <row r="169" spans="2:13" ht="16.5" customHeight="1" thickBot="1" x14ac:dyDescent="0.4">
      <c r="L169" s="62"/>
      <c r="M169" s="24"/>
    </row>
    <row r="170" spans="2:13" ht="19.5" customHeight="1" thickBot="1" x14ac:dyDescent="0.4">
      <c r="B170" s="126" t="s">
        <v>121</v>
      </c>
      <c r="C170" s="127"/>
      <c r="D170" s="127"/>
      <c r="E170" s="127"/>
      <c r="F170" s="128"/>
      <c r="L170" s="24"/>
      <c r="M170" s="24"/>
    </row>
    <row r="171" spans="2:13" ht="29.25" customHeight="1" thickBot="1" x14ac:dyDescent="0.4">
      <c r="B171" s="31"/>
      <c r="C171" s="32" t="s">
        <v>20</v>
      </c>
      <c r="D171" s="32" t="s">
        <v>21</v>
      </c>
      <c r="E171" s="32" t="s">
        <v>22</v>
      </c>
      <c r="F171" s="33" t="s">
        <v>23</v>
      </c>
      <c r="L171" s="24"/>
      <c r="M171" s="24"/>
    </row>
    <row r="172" spans="2:13" x14ac:dyDescent="0.35">
      <c r="B172" s="129"/>
      <c r="C172" s="117" t="s">
        <v>26</v>
      </c>
      <c r="D172" s="35">
        <v>6</v>
      </c>
      <c r="E172" s="76"/>
      <c r="F172" s="37"/>
      <c r="J172" s="26"/>
      <c r="K172" s="24"/>
    </row>
    <row r="173" spans="2:13" ht="16.5" customHeight="1" thickBot="1" x14ac:dyDescent="0.4">
      <c r="B173" s="131"/>
      <c r="C173" s="47" t="s">
        <v>122</v>
      </c>
      <c r="D173" s="48">
        <v>20</v>
      </c>
      <c r="E173" s="115" t="s">
        <v>70</v>
      </c>
      <c r="F173" s="50"/>
      <c r="J173" s="26"/>
      <c r="K173" s="24"/>
    </row>
    <row r="174" spans="2:13" x14ac:dyDescent="0.35">
      <c r="B174" s="57" t="s">
        <v>123</v>
      </c>
      <c r="C174" s="64" t="s">
        <v>124</v>
      </c>
      <c r="D174" s="109"/>
      <c r="E174" s="76"/>
      <c r="F174" s="65">
        <v>1</v>
      </c>
      <c r="L174" s="24"/>
    </row>
    <row r="175" spans="2:13" ht="16.5" customHeight="1" thickBot="1" x14ac:dyDescent="0.4">
      <c r="B175" s="58" t="s">
        <v>125</v>
      </c>
      <c r="C175" s="59" t="s">
        <v>124</v>
      </c>
      <c r="D175" s="110"/>
      <c r="E175" s="116"/>
      <c r="F175" s="60">
        <v>1</v>
      </c>
      <c r="L175" s="24"/>
    </row>
    <row r="176" spans="2:13" ht="16.5" customHeight="1" thickBot="1" x14ac:dyDescent="0.4">
      <c r="E176" s="40" t="s">
        <v>38</v>
      </c>
      <c r="F176" s="41">
        <f>SUM(F174:F175)</f>
        <v>2</v>
      </c>
      <c r="M176" s="24"/>
    </row>
  </sheetData>
  <sheetProtection sheet="1" objects="1" scenarios="1"/>
  <mergeCells count="43">
    <mergeCell ref="B153:F153"/>
    <mergeCell ref="B172:B173"/>
    <mergeCell ref="B17:F17"/>
    <mergeCell ref="B63:F63"/>
    <mergeCell ref="B120:F120"/>
    <mergeCell ref="B79:B81"/>
    <mergeCell ref="B31:F31"/>
    <mergeCell ref="B19:F19"/>
    <mergeCell ref="B77:F77"/>
    <mergeCell ref="B65:F65"/>
    <mergeCell ref="B42:F42"/>
    <mergeCell ref="B21:B23"/>
    <mergeCell ref="B33:B35"/>
    <mergeCell ref="B44:B46"/>
    <mergeCell ref="B53:F53"/>
    <mergeCell ref="B55:B56"/>
    <mergeCell ref="E1:F1"/>
    <mergeCell ref="B2:C2"/>
    <mergeCell ref="E2:F2"/>
    <mergeCell ref="B4:F4"/>
    <mergeCell ref="B1:C1"/>
    <mergeCell ref="D14:E14"/>
    <mergeCell ref="D15:E15"/>
    <mergeCell ref="C6:D6"/>
    <mergeCell ref="C7:D7"/>
    <mergeCell ref="C8:D8"/>
    <mergeCell ref="B10:F10"/>
    <mergeCell ref="B170:F170"/>
    <mergeCell ref="B67:B69"/>
    <mergeCell ref="B89:B91"/>
    <mergeCell ref="B130:F130"/>
    <mergeCell ref="B140:F140"/>
    <mergeCell ref="B132:B134"/>
    <mergeCell ref="B142:B144"/>
    <mergeCell ref="B163:B164"/>
    <mergeCell ref="B99:F99"/>
    <mergeCell ref="B109:F109"/>
    <mergeCell ref="B122:F122"/>
    <mergeCell ref="B87:F87"/>
    <mergeCell ref="B101:B103"/>
    <mergeCell ref="B111:B113"/>
    <mergeCell ref="B161:F161"/>
    <mergeCell ref="B151:F151"/>
  </mergeCells>
  <dataValidations count="2">
    <dataValidation type="list" showInputMessage="1" showErrorMessage="1" errorTitle="Unit Not Valid" error="The selected unit is not valid, please select a valid unit from the list." sqref="E24 E36:E37 E145:E146 E135 E125 E114:E115 E104 E92:E94 E82 E70:E72 E57:E58 E47:E48" xr:uid="{00000000-0002-0000-0000-000000000000}">
      <formula1>$I$21:$I$48</formula1>
    </dataValidation>
    <dataValidation type="list" showInputMessage="1" showErrorMessage="1" errorTitle="Answer Not Valid" error="Write 1 or 2." sqref="D174 D175" xr:uid="{00000000-0002-0000-0000-000001000000}">
      <formula1>"1, 2"</formula1>
    </dataValidation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2021-06-09T11:19:50Z</dcterms:modified>
  <dc:language>en-ZA</dc:language>
</cp:coreProperties>
</file>