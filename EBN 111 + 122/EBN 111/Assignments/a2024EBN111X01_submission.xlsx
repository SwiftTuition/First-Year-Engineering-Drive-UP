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1\"/>
    </mc:Choice>
  </mc:AlternateContent>
  <xr:revisionPtr revIDLastSave="0" documentId="13_ncr:1_{EE897461-F1F5-4A52-8950-BE8601635EFA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  <c r="F52" i="1"/>
  <c r="F42" i="1"/>
  <c r="F32" i="1"/>
  <c r="F22" i="1"/>
  <c r="F15" i="1"/>
</calcChain>
</file>

<file path=xl/sharedStrings.xml><?xml version="1.0" encoding="utf-8"?>
<sst xmlns="http://schemas.openxmlformats.org/spreadsheetml/2006/main" count="105" uniqueCount="68">
  <si>
    <t>2024EBN111A01</t>
  </si>
  <si>
    <t>Student number:</t>
  </si>
  <si>
    <t>21/02/2024 8:00 AM - 26/02/2024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</si>
  <si>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</si>
  <si>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</si>
  <si>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</si>
  <si>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</si>
  <si>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</si>
  <si>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</si>
  <si>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</si>
  <si>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</si>
  <si>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</si>
  <si>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</si>
  <si>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</si>
  <si>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</si>
  <si>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</si>
  <si>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</si>
  <si>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</si>
  <si>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</si>
  <si>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</si>
  <si>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</si>
  <si>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</si>
  <si>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</si>
  <si>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R</t>
  </si>
  <si>
    <t>ohm</t>
  </si>
  <si>
    <t>&amp;Omega;</t>
  </si>
  <si>
    <t>t</t>
  </si>
  <si>
    <t>ms</t>
  </si>
  <si>
    <t>m&amp;Omega;</t>
  </si>
  <si>
    <t>01</t>
  </si>
  <si>
    <t>Q</t>
  </si>
  <si>
    <t>Total</t>
  </si>
  <si>
    <t>M&amp;Omega;</t>
  </si>
  <si>
    <t>s</t>
  </si>
  <si>
    <t>&amp;mu;s</t>
  </si>
  <si>
    <t>Question 2</t>
  </si>
  <si>
    <t>ns</t>
  </si>
  <si>
    <t>C</t>
  </si>
  <si>
    <t>nC</t>
  </si>
  <si>
    <t>&amp;mu;C</t>
  </si>
  <si>
    <t>X</t>
  </si>
  <si>
    <t>mV</t>
  </si>
  <si>
    <t>E</t>
  </si>
  <si>
    <t>mJ</t>
  </si>
  <si>
    <t>V</t>
  </si>
  <si>
    <t>02</t>
  </si>
  <si>
    <t>MV</t>
  </si>
  <si>
    <t>A</t>
  </si>
  <si>
    <t>W</t>
  </si>
  <si>
    <t>Question 3</t>
  </si>
  <si>
    <t>hours</t>
  </si>
  <si>
    <t>kJ</t>
  </si>
  <si>
    <t>v</t>
  </si>
  <si>
    <t>03</t>
  </si>
  <si>
    <t>I</t>
  </si>
  <si>
    <t>Question 4-5</t>
  </si>
  <si>
    <t>Y</t>
  </si>
  <si>
    <t>04</t>
  </si>
  <si>
    <t>05</t>
  </si>
  <si>
    <t>B</t>
  </si>
  <si>
    <t>Question 6</t>
  </si>
  <si>
    <t>06</t>
  </si>
  <si>
    <t>P</t>
  </si>
  <si>
    <t>12.30769</t>
  </si>
  <si>
    <t>-640</t>
  </si>
  <si>
    <t>-20</t>
  </si>
  <si>
    <t>-1.8</t>
  </si>
  <si>
    <t>33.069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</si>
</sst>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1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11" fontId="15" fillId="3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6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4" xfId="0" applyNumberFormat="1" applyFont="1" applyFill="1" applyBorder="1" applyAlignment="1">
      <alignment horizontal="center" wrapText="1"/>
    </xf>
    <xf numFmtId="0" fontId="15" fillId="4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/>
    </xf>
    <xf numFmtId="0" fontId="18" fillId="0" borderId="27" xfId="0" applyFont="1" applyBorder="1" applyAlignment="1">
      <alignment horizontal="center"/>
    </xf>
    <xf numFmtId="49" fontId="20" fillId="0" borderId="22" xfId="0" quotePrefix="1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1" fontId="4" fillId="0" borderId="2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6" borderId="18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/>
    </xf>
    <xf numFmtId="0" fontId="15" fillId="6" borderId="19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wrapText="1"/>
    </xf>
    <xf numFmtId="0" fontId="9" fillId="6" borderId="20" xfId="0" applyFont="1" applyFill="1" applyBorder="1" applyAlignment="1">
      <alignment horizont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20" fillId="0" borderId="22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20" fillId="0" borderId="9" xfId="0" quotePrefix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7" borderId="25" xfId="0" applyFont="1" applyFill="1" applyBorder="1"/>
    <xf numFmtId="0" fontId="9" fillId="0" borderId="5" xfId="0" applyFont="1" applyBorder="1" applyAlignment="1">
      <alignment horizontal="center"/>
    </xf>
    <xf numFmtId="0" fontId="20" fillId="0" borderId="12" xfId="0" quotePrefix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7" borderId="13" xfId="0" applyFont="1" applyFill="1" applyBorder="1"/>
    <xf numFmtId="0" fontId="9" fillId="0" borderId="17" xfId="0" applyFont="1" applyBorder="1" applyAlignment="1">
      <alignment horizont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6" fontId="9" fillId="6" borderId="6" xfId="0" applyNumberFormat="1" applyFont="1" applyFill="1" applyBorder="1" applyAlignment="1">
      <alignment horizontal="center" wrapText="1"/>
    </xf>
    <xf numFmtId="6" fontId="9" fillId="6" borderId="1" xfId="0" applyNumberFormat="1" applyFont="1" applyFill="1" applyBorder="1" applyAlignment="1">
      <alignment horizontal="center" wrapText="1"/>
    </xf>
    <xf numFmtId="6" fontId="9" fillId="6" borderId="19" xfId="0" applyNumberFormat="1" applyFont="1" applyFill="1" applyBorder="1" applyAlignment="1">
      <alignment horizontal="center" wrapText="1"/>
    </xf>
    <xf numFmtId="11" fontId="15" fillId="3" borderId="23" xfId="0" quotePrefix="1" applyNumberFormat="1" applyFont="1" applyFill="1" applyBorder="1" applyAlignment="1" applyProtection="1">
      <alignment horizontal="center" vertical="center" wrapText="1"/>
      <protection locked="0"/>
    </xf>
    <xf numFmtId="11" fontId="15" fillId="3" borderId="4" xfId="0" quotePrefix="1" applyNumberFormat="1" applyFont="1" applyFill="1" applyBorder="1" applyAlignment="1" applyProtection="1">
      <alignment horizontal="center" vertical="center" wrapText="1"/>
      <protection locked="0"/>
    </xf>
    <xf numFmtId="11" fontId="15" fillId="3" borderId="16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0" borderId="34" xfId="0" applyFont="1" applyBorder="1" applyAlignment="1">
      <alignment horizontal="center" vertical="center"/>
    </xf>
    <xf numFmtId="0" fontId="0" fillId="0" borderId="29" xfId="0" applyBorder="1"/>
    <xf numFmtId="0" fontId="0" fillId="0" borderId="35" xfId="0" applyBorder="1"/>
    <xf numFmtId="0" fontId="19" fillId="0" borderId="1" xfId="0" applyFont="1" applyBorder="1" applyAlignment="1">
      <alignment horizontal="left" vertical="top"/>
    </xf>
    <xf numFmtId="0" fontId="0" fillId="0" borderId="32" xfId="0" applyBorder="1"/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32" xfId="0" applyBorder="1" applyProtection="1">
      <protection locked="0"/>
    </xf>
    <xf numFmtId="0" fontId="11" fillId="0" borderId="9" xfId="0" applyFont="1" applyBorder="1" applyAlignment="1">
      <alignment horizontal="center"/>
    </xf>
    <xf numFmtId="0" fontId="0" fillId="0" borderId="30" xfId="0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0" fillId="0" borderId="33" xfId="0" applyBorder="1"/>
    <xf numFmtId="165" fontId="3" fillId="0" borderId="1" xfId="0" applyNumberFormat="1" applyFont="1" applyBorder="1" applyAlignment="1">
      <alignment horizontal="left"/>
    </xf>
    <xf numFmtId="0" fontId="11" fillId="0" borderId="12" xfId="0" applyFont="1" applyBorder="1" applyAlignment="1">
      <alignment horizontal="center"/>
    </xf>
    <xf numFmtId="0" fontId="0" fillId="0" borderId="31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92"/>
  <sheetViews>
    <sheetView showGridLines="0" tabSelected="1" zoomScaleNormal="100" workbookViewId="0">
      <selection activeCell="E2" sqref="E2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2" customWidth="1"/>
    <col min="9" max="9" width="15.09765625" customWidth="1"/>
    <col min="10" max="10" width="4.69921875" style="5" customWidth="1"/>
    <col min="11" max="23" width="4.69921875" customWidth="1"/>
  </cols>
  <sheetData>
    <row r="1" spans="2:13" ht="17.399999999999999" customHeight="1" x14ac:dyDescent="0.3">
      <c r="B1" s="98" t="s">
        <v>0</v>
      </c>
      <c r="C1" s="93"/>
      <c r="D1" s="2" t="s">
        <v>1</v>
      </c>
      <c r="E1" s="94"/>
      <c r="F1" s="95"/>
      <c r="G1" s="3"/>
      <c r="H1" s="4"/>
      <c r="K1" s="6"/>
      <c r="L1" s="6"/>
      <c r="M1" s="6"/>
    </row>
    <row r="2" spans="2:13" x14ac:dyDescent="0.3">
      <c r="B2" s="101" t="s">
        <v>2</v>
      </c>
      <c r="C2" s="93"/>
      <c r="D2" s="2" t="s">
        <v>3</v>
      </c>
      <c r="E2" s="104"/>
      <c r="F2" s="95"/>
      <c r="G2" s="7"/>
      <c r="H2" s="4"/>
      <c r="K2" s="6"/>
      <c r="L2" s="6"/>
      <c r="M2" s="6"/>
    </row>
    <row r="3" spans="2:13" x14ac:dyDescent="0.3">
      <c r="B3" s="8"/>
      <c r="C3" s="8"/>
      <c r="D3" s="8"/>
      <c r="E3" s="8"/>
      <c r="F3" s="8"/>
      <c r="G3" s="8"/>
      <c r="H3" s="9"/>
      <c r="J3" s="10"/>
      <c r="K3" s="8"/>
      <c r="L3" s="8"/>
      <c r="M3" s="8"/>
    </row>
    <row r="4" spans="2:13" ht="33.9" customHeight="1" x14ac:dyDescent="0.3">
      <c r="B4" s="99" t="s">
        <v>4</v>
      </c>
      <c r="C4" s="100"/>
      <c r="D4" s="100"/>
      <c r="E4" s="100"/>
      <c r="F4" s="93"/>
      <c r="G4" s="11"/>
      <c r="H4" s="9"/>
      <c r="J4" s="10"/>
      <c r="K4" s="8"/>
      <c r="L4" s="8"/>
      <c r="M4" s="8"/>
    </row>
    <row r="5" spans="2:13" x14ac:dyDescent="0.3">
      <c r="B5" s="12"/>
      <c r="C5" s="6"/>
      <c r="D5" s="13"/>
      <c r="E5" s="13"/>
      <c r="F5" s="6"/>
      <c r="G5" s="6"/>
      <c r="H5" s="4"/>
      <c r="K5" s="6"/>
      <c r="L5" s="6"/>
      <c r="M5" s="6"/>
    </row>
    <row r="6" spans="2:13" x14ac:dyDescent="0.3">
      <c r="B6" s="14"/>
      <c r="C6" s="92" t="s">
        <v>5</v>
      </c>
      <c r="D6" s="93"/>
      <c r="E6" s="13"/>
      <c r="F6" s="6"/>
      <c r="G6" s="6"/>
      <c r="H6" s="4"/>
      <c r="K6" s="6"/>
      <c r="L6" s="6"/>
      <c r="M6" s="6"/>
    </row>
    <row r="7" spans="2:13" x14ac:dyDescent="0.3">
      <c r="B7" s="15"/>
      <c r="C7" s="92" t="s">
        <v>6</v>
      </c>
      <c r="D7" s="93"/>
      <c r="E7" s="13"/>
      <c r="F7" s="6"/>
      <c r="G7" s="6"/>
      <c r="H7" s="4"/>
      <c r="L7" s="6"/>
      <c r="M7" s="6"/>
    </row>
    <row r="8" spans="2:13" x14ac:dyDescent="0.3">
      <c r="B8" s="16"/>
      <c r="C8" s="92" t="s">
        <v>7</v>
      </c>
      <c r="D8" s="93"/>
      <c r="E8" s="13"/>
      <c r="F8" s="6"/>
      <c r="G8" s="6"/>
      <c r="H8" s="4"/>
      <c r="L8" s="6"/>
      <c r="M8" s="6"/>
    </row>
    <row r="9" spans="2:13" x14ac:dyDescent="0.3">
      <c r="B9" s="17"/>
      <c r="C9" s="6"/>
      <c r="D9" s="13"/>
      <c r="E9" s="13"/>
      <c r="F9" s="6"/>
      <c r="G9" s="6"/>
      <c r="H9" s="4"/>
      <c r="L9" s="6"/>
      <c r="M9" s="6"/>
    </row>
    <row r="10" spans="2:13" ht="27" customHeight="1" x14ac:dyDescent="0.3">
      <c r="B10" s="105" t="s">
        <v>8</v>
      </c>
      <c r="C10" s="106"/>
      <c r="D10" s="106"/>
      <c r="E10" s="106"/>
      <c r="F10" s="106"/>
      <c r="G10" s="6"/>
      <c r="H10" s="4"/>
      <c r="L10" s="6"/>
      <c r="M10" s="6"/>
    </row>
    <row r="11" spans="2:13" x14ac:dyDescent="0.3">
      <c r="B11" s="6"/>
      <c r="C11" s="18" t="s">
        <v>9</v>
      </c>
      <c r="D11" s="19" t="s">
        <v>10</v>
      </c>
      <c r="E11" s="20" t="s">
        <v>11</v>
      </c>
      <c r="F11" s="6"/>
      <c r="G11" s="6"/>
      <c r="H11" s="4"/>
      <c r="L11" s="6"/>
      <c r="M11" s="6"/>
    </row>
    <row r="12" spans="2:13" x14ac:dyDescent="0.3">
      <c r="B12" s="17"/>
      <c r="C12" s="21" t="s">
        <v>12</v>
      </c>
      <c r="D12" s="19" t="s">
        <v>13</v>
      </c>
      <c r="E12" s="20" t="s">
        <v>14</v>
      </c>
      <c r="F12" s="6"/>
      <c r="G12" s="6"/>
      <c r="H12" s="4"/>
      <c r="L12" s="6"/>
      <c r="M12" s="6"/>
    </row>
    <row r="13" spans="2:13" ht="16.2" customHeight="1" thickBot="1" x14ac:dyDescent="0.35">
      <c r="B13" s="17"/>
      <c r="C13" s="22"/>
      <c r="D13" s="23"/>
      <c r="E13" s="13"/>
      <c r="F13" s="6"/>
      <c r="G13" s="6"/>
      <c r="H13" s="4"/>
      <c r="L13" s="6"/>
      <c r="M13" s="6"/>
    </row>
    <row r="14" spans="2:13" ht="21" customHeight="1" thickBot="1" x14ac:dyDescent="0.4">
      <c r="B14" s="24"/>
      <c r="C14" s="25"/>
      <c r="D14" s="96" t="s">
        <v>15</v>
      </c>
      <c r="E14" s="97"/>
      <c r="F14" s="26">
        <v>10</v>
      </c>
      <c r="G14" s="25"/>
      <c r="H14" s="27"/>
      <c r="J14" s="28"/>
      <c r="L14" s="25"/>
      <c r="M14" s="25"/>
    </row>
    <row r="15" spans="2:13" ht="21" customHeight="1" thickBot="1" x14ac:dyDescent="0.4">
      <c r="B15" s="24"/>
      <c r="C15" s="25"/>
      <c r="D15" s="102" t="s">
        <v>16</v>
      </c>
      <c r="E15" s="103"/>
      <c r="F15" s="29">
        <f>F14</f>
        <v>10</v>
      </c>
      <c r="G15" s="25"/>
      <c r="H15" s="27"/>
      <c r="J15" s="28"/>
    </row>
    <row r="16" spans="2:13" ht="21" customHeight="1" thickBot="1" x14ac:dyDescent="0.4">
      <c r="B16" s="24"/>
      <c r="C16" s="25"/>
      <c r="D16" s="30"/>
      <c r="E16" s="30"/>
      <c r="F16" s="31"/>
      <c r="G16" s="25"/>
      <c r="H16" s="27"/>
      <c r="J16" s="28"/>
    </row>
    <row r="17" spans="2:9" ht="18" customHeight="1" thickBot="1" x14ac:dyDescent="0.35">
      <c r="B17" s="89" t="s">
        <v>17</v>
      </c>
      <c r="C17" s="90"/>
      <c r="D17" s="90"/>
      <c r="E17" s="90"/>
      <c r="F17" s="91"/>
    </row>
    <row r="18" spans="2:9" ht="28.8" customHeight="1" thickBot="1" x14ac:dyDescent="0.35">
      <c r="B18" s="33"/>
      <c r="C18" s="34" t="s">
        <v>18</v>
      </c>
      <c r="D18" s="34" t="s">
        <v>19</v>
      </c>
      <c r="E18" s="34" t="s">
        <v>20</v>
      </c>
      <c r="F18" s="35" t="s">
        <v>21</v>
      </c>
      <c r="I18" s="36" t="s">
        <v>22</v>
      </c>
    </row>
    <row r="19" spans="2:9" x14ac:dyDescent="0.3">
      <c r="B19" s="37"/>
      <c r="C19" s="83" t="s">
        <v>23</v>
      </c>
      <c r="D19" s="38">
        <v>70</v>
      </c>
      <c r="E19" s="39" t="s">
        <v>24</v>
      </c>
      <c r="F19" s="40"/>
      <c r="I19" s="41" t="s">
        <v>25</v>
      </c>
    </row>
    <row r="20" spans="2:9" ht="16.2" customHeight="1" thickBot="1" x14ac:dyDescent="0.35">
      <c r="B20" s="42"/>
      <c r="C20" s="43" t="s">
        <v>26</v>
      </c>
      <c r="D20" s="44">
        <v>0.6</v>
      </c>
      <c r="E20" s="45" t="s">
        <v>27</v>
      </c>
      <c r="F20" s="46"/>
      <c r="I20" s="47" t="s">
        <v>28</v>
      </c>
    </row>
    <row r="21" spans="2:9" ht="16.2" customHeight="1" thickBot="1" x14ac:dyDescent="0.35">
      <c r="B21" s="48" t="s">
        <v>29</v>
      </c>
      <c r="C21" s="49" t="s">
        <v>30</v>
      </c>
      <c r="D21" s="86" t="s">
        <v>66</v>
      </c>
      <c r="E21" s="1" t="s">
        <v>39</v>
      </c>
      <c r="F21" s="50">
        <v>2</v>
      </c>
      <c r="I21" s="47" t="s">
        <v>11</v>
      </c>
    </row>
    <row r="22" spans="2:9" ht="16.2" customHeight="1" thickBot="1" x14ac:dyDescent="0.35">
      <c r="E22" s="51" t="s">
        <v>31</v>
      </c>
      <c r="F22" s="52">
        <f>SUM(F21)</f>
        <v>2</v>
      </c>
      <c r="I22" s="47" t="s">
        <v>32</v>
      </c>
    </row>
    <row r="23" spans="2:9" x14ac:dyDescent="0.3">
      <c r="I23" s="47" t="s">
        <v>33</v>
      </c>
    </row>
    <row r="24" spans="2:9" x14ac:dyDescent="0.3">
      <c r="B24" s="53"/>
      <c r="C24" s="54"/>
      <c r="D24" s="54"/>
      <c r="E24" s="54"/>
      <c r="F24" s="55"/>
      <c r="I24" s="47" t="s">
        <v>27</v>
      </c>
    </row>
    <row r="25" spans="2:9" ht="16.2" customHeight="1" thickBot="1" x14ac:dyDescent="0.35">
      <c r="I25" s="47" t="s">
        <v>34</v>
      </c>
    </row>
    <row r="26" spans="2:9" ht="18" customHeight="1" thickBot="1" x14ac:dyDescent="0.35">
      <c r="B26" s="89" t="s">
        <v>35</v>
      </c>
      <c r="C26" s="90"/>
      <c r="D26" s="90"/>
      <c r="E26" s="90"/>
      <c r="F26" s="91"/>
      <c r="I26" s="47" t="s">
        <v>36</v>
      </c>
    </row>
    <row r="27" spans="2:9" ht="27.6" customHeight="1" x14ac:dyDescent="0.3">
      <c r="B27" s="33"/>
      <c r="C27" s="34" t="s">
        <v>18</v>
      </c>
      <c r="D27" s="34" t="s">
        <v>19</v>
      </c>
      <c r="E27" s="34" t="s">
        <v>20</v>
      </c>
      <c r="F27" s="35" t="s">
        <v>21</v>
      </c>
      <c r="I27" s="47" t="s">
        <v>37</v>
      </c>
    </row>
    <row r="28" spans="2:9" x14ac:dyDescent="0.3">
      <c r="B28" s="56"/>
      <c r="C28" s="84" t="s">
        <v>30</v>
      </c>
      <c r="D28" s="57">
        <v>65</v>
      </c>
      <c r="E28" s="58" t="s">
        <v>38</v>
      </c>
      <c r="F28" s="59"/>
      <c r="I28" s="47" t="s">
        <v>39</v>
      </c>
    </row>
    <row r="29" spans="2:9" x14ac:dyDescent="0.3">
      <c r="B29" s="42"/>
      <c r="C29" s="60" t="s">
        <v>40</v>
      </c>
      <c r="D29" s="61">
        <v>35</v>
      </c>
      <c r="E29" s="62" t="s">
        <v>34</v>
      </c>
      <c r="F29" s="63"/>
      <c r="I29" s="47" t="s">
        <v>41</v>
      </c>
    </row>
    <row r="30" spans="2:9" ht="16.2" customHeight="1" thickBot="1" x14ac:dyDescent="0.35">
      <c r="B30" s="42"/>
      <c r="C30" s="85" t="s">
        <v>42</v>
      </c>
      <c r="D30" s="64">
        <v>800</v>
      </c>
      <c r="E30" s="65" t="s">
        <v>43</v>
      </c>
      <c r="F30" s="66"/>
      <c r="I30" s="47" t="s">
        <v>44</v>
      </c>
    </row>
    <row r="31" spans="2:9" ht="16.2" customHeight="1" thickBot="1" x14ac:dyDescent="0.35">
      <c r="B31" s="48" t="s">
        <v>45</v>
      </c>
      <c r="C31" s="49" t="s">
        <v>44</v>
      </c>
      <c r="D31" s="1" t="s">
        <v>63</v>
      </c>
      <c r="E31" s="1" t="s">
        <v>46</v>
      </c>
      <c r="F31" s="50">
        <v>2</v>
      </c>
      <c r="I31" s="47" t="s">
        <v>46</v>
      </c>
    </row>
    <row r="32" spans="2:9" ht="16.2" customHeight="1" thickBot="1" x14ac:dyDescent="0.35">
      <c r="E32" s="51" t="s">
        <v>31</v>
      </c>
      <c r="F32" s="52">
        <f>SUM(F31)</f>
        <v>2</v>
      </c>
      <c r="I32" s="47" t="s">
        <v>14</v>
      </c>
    </row>
    <row r="33" spans="2:13" x14ac:dyDescent="0.3">
      <c r="I33" s="67" t="s">
        <v>47</v>
      </c>
    </row>
    <row r="34" spans="2:13" ht="16.2" customHeight="1" thickBot="1" x14ac:dyDescent="0.35">
      <c r="B34" s="53"/>
      <c r="C34" s="54"/>
      <c r="D34" s="54"/>
      <c r="E34" s="54"/>
      <c r="F34" s="55"/>
      <c r="I34" s="68" t="s">
        <v>48</v>
      </c>
    </row>
    <row r="35" spans="2:13" ht="16.2" customHeight="1" thickBot="1" x14ac:dyDescent="0.35"/>
    <row r="36" spans="2:13" ht="18" customHeight="1" thickBot="1" x14ac:dyDescent="0.35">
      <c r="B36" s="89" t="s">
        <v>49</v>
      </c>
      <c r="C36" s="90"/>
      <c r="D36" s="90"/>
      <c r="E36" s="90"/>
      <c r="F36" s="91"/>
    </row>
    <row r="37" spans="2:13" ht="27.6" customHeight="1" x14ac:dyDescent="0.3">
      <c r="B37" s="33"/>
      <c r="C37" s="34" t="s">
        <v>18</v>
      </c>
      <c r="D37" s="34" t="s">
        <v>19</v>
      </c>
      <c r="E37" s="34" t="s">
        <v>20</v>
      </c>
      <c r="F37" s="35" t="s">
        <v>21</v>
      </c>
    </row>
    <row r="38" spans="2:13" x14ac:dyDescent="0.3">
      <c r="B38" s="56"/>
      <c r="C38" s="84" t="s">
        <v>26</v>
      </c>
      <c r="D38" s="57">
        <v>1.2</v>
      </c>
      <c r="E38" s="58" t="s">
        <v>50</v>
      </c>
      <c r="F38" s="59"/>
    </row>
    <row r="39" spans="2:13" x14ac:dyDescent="0.3">
      <c r="B39" s="42"/>
      <c r="C39" s="60" t="s">
        <v>42</v>
      </c>
      <c r="D39" s="61">
        <v>12</v>
      </c>
      <c r="E39" s="62" t="s">
        <v>51</v>
      </c>
      <c r="F39" s="63"/>
    </row>
    <row r="40" spans="2:13" ht="16.2" customHeight="1" thickBot="1" x14ac:dyDescent="0.35">
      <c r="B40" s="42"/>
      <c r="C40" s="85" t="s">
        <v>52</v>
      </c>
      <c r="D40" s="64">
        <v>84</v>
      </c>
      <c r="E40" s="65" t="s">
        <v>44</v>
      </c>
      <c r="F40" s="66"/>
    </row>
    <row r="41" spans="2:13" ht="16.2" customHeight="1" thickBot="1" x14ac:dyDescent="0.35">
      <c r="B41" s="69" t="s">
        <v>53</v>
      </c>
      <c r="C41" s="49" t="s">
        <v>54</v>
      </c>
      <c r="D41" s="1" t="s">
        <v>67</v>
      </c>
      <c r="E41" s="1" t="s">
        <v>14</v>
      </c>
      <c r="F41" s="50">
        <v>2</v>
      </c>
    </row>
    <row r="42" spans="2:13" ht="16.2" customHeight="1" thickBot="1" x14ac:dyDescent="0.35">
      <c r="E42" s="51" t="s">
        <v>31</v>
      </c>
      <c r="F42" s="52">
        <f>SUM(F41)</f>
        <v>2</v>
      </c>
    </row>
    <row r="44" spans="2:13" x14ac:dyDescent="0.3">
      <c r="B44" s="53"/>
      <c r="C44" s="54"/>
      <c r="D44" s="54"/>
      <c r="E44" s="54"/>
      <c r="F44" s="55"/>
    </row>
    <row r="45" spans="2:13" ht="16.2" customHeight="1" thickBot="1" x14ac:dyDescent="0.35">
      <c r="L45" s="25"/>
      <c r="M45" s="25"/>
    </row>
    <row r="46" spans="2:13" ht="18" customHeight="1" thickBot="1" x14ac:dyDescent="0.35">
      <c r="B46" s="89" t="s">
        <v>55</v>
      </c>
      <c r="C46" s="90"/>
      <c r="D46" s="90"/>
      <c r="E46" s="90"/>
      <c r="F46" s="91"/>
      <c r="L46" s="25"/>
      <c r="M46" s="25"/>
    </row>
    <row r="47" spans="2:13" ht="28.2" customHeight="1" thickBot="1" x14ac:dyDescent="0.35">
      <c r="B47" s="33"/>
      <c r="C47" s="34" t="s">
        <v>18</v>
      </c>
      <c r="D47" s="34" t="s">
        <v>19</v>
      </c>
      <c r="E47" s="34" t="s">
        <v>20</v>
      </c>
      <c r="F47" s="35" t="s">
        <v>21</v>
      </c>
      <c r="G47" s="70"/>
      <c r="H47" s="27"/>
      <c r="J47" s="28"/>
    </row>
    <row r="48" spans="2:13" x14ac:dyDescent="0.3">
      <c r="B48" s="37"/>
      <c r="C48" s="83" t="s">
        <v>40</v>
      </c>
      <c r="D48" s="38">
        <v>8</v>
      </c>
      <c r="E48" s="39"/>
      <c r="F48" s="40"/>
      <c r="L48" s="25"/>
      <c r="M48" s="71"/>
    </row>
    <row r="49" spans="2:13" ht="16.2" customHeight="1" thickBot="1" x14ac:dyDescent="0.35">
      <c r="B49" s="42"/>
      <c r="C49" s="43" t="s">
        <v>56</v>
      </c>
      <c r="D49" s="44">
        <v>10</v>
      </c>
      <c r="E49" s="45"/>
      <c r="F49" s="46"/>
      <c r="L49" s="25"/>
      <c r="M49" s="71"/>
    </row>
    <row r="50" spans="2:13" x14ac:dyDescent="0.3">
      <c r="B50" s="72" t="s">
        <v>57</v>
      </c>
      <c r="C50" s="73" t="s">
        <v>47</v>
      </c>
      <c r="D50" s="87" t="s">
        <v>64</v>
      </c>
      <c r="E50" s="74"/>
      <c r="F50" s="75">
        <v>1</v>
      </c>
      <c r="L50" s="25"/>
      <c r="M50" s="71"/>
    </row>
    <row r="51" spans="2:13" ht="16.2" customHeight="1" thickBot="1" x14ac:dyDescent="0.35">
      <c r="B51" s="76" t="s">
        <v>58</v>
      </c>
      <c r="C51" s="77" t="s">
        <v>59</v>
      </c>
      <c r="D51" s="88" t="s">
        <v>65</v>
      </c>
      <c r="E51" s="78"/>
      <c r="F51" s="79">
        <v>1</v>
      </c>
      <c r="L51" s="25"/>
      <c r="M51" s="71"/>
    </row>
    <row r="52" spans="2:13" ht="16.2" customHeight="1" thickBot="1" x14ac:dyDescent="0.35">
      <c r="E52" s="51" t="s">
        <v>31</v>
      </c>
      <c r="F52" s="52">
        <f>SUM(F50:F51)</f>
        <v>2</v>
      </c>
      <c r="L52" s="25"/>
      <c r="M52" s="25"/>
    </row>
    <row r="53" spans="2:13" x14ac:dyDescent="0.3">
      <c r="L53" s="25"/>
      <c r="M53" s="25"/>
    </row>
    <row r="54" spans="2:13" x14ac:dyDescent="0.3">
      <c r="B54" s="53"/>
      <c r="C54" s="54"/>
      <c r="D54" s="54"/>
      <c r="E54" s="54"/>
      <c r="F54" s="55"/>
      <c r="L54" s="25"/>
      <c r="M54" s="25"/>
    </row>
    <row r="55" spans="2:13" ht="16.2" customHeight="1" thickBot="1" x14ac:dyDescent="0.35">
      <c r="L55" s="25"/>
      <c r="M55" s="25"/>
    </row>
    <row r="56" spans="2:13" ht="18" customHeight="1" thickBot="1" x14ac:dyDescent="0.35">
      <c r="B56" s="89" t="s">
        <v>60</v>
      </c>
      <c r="C56" s="90"/>
      <c r="D56" s="90"/>
      <c r="E56" s="90"/>
      <c r="F56" s="91"/>
      <c r="L56" s="25"/>
      <c r="M56" s="25"/>
    </row>
    <row r="57" spans="2:13" ht="28.2" customHeight="1" thickBot="1" x14ac:dyDescent="0.35">
      <c r="B57" s="33"/>
      <c r="C57" s="34" t="s">
        <v>18</v>
      </c>
      <c r="D57" s="34" t="s">
        <v>19</v>
      </c>
      <c r="E57" s="34" t="s">
        <v>20</v>
      </c>
      <c r="F57" s="35" t="s">
        <v>21</v>
      </c>
      <c r="L57" s="25"/>
      <c r="M57" s="25"/>
    </row>
    <row r="58" spans="2:13" ht="16.2" customHeight="1" thickBot="1" x14ac:dyDescent="0.35">
      <c r="B58" s="37"/>
      <c r="C58" s="83" t="s">
        <v>44</v>
      </c>
      <c r="D58" s="38">
        <v>80</v>
      </c>
      <c r="E58" s="39" t="s">
        <v>44</v>
      </c>
      <c r="F58" s="40"/>
      <c r="L58" s="25"/>
      <c r="M58" s="25"/>
    </row>
    <row r="59" spans="2:13" ht="16.2" customHeight="1" thickBot="1" x14ac:dyDescent="0.35">
      <c r="B59" s="69" t="s">
        <v>61</v>
      </c>
      <c r="C59" s="49" t="s">
        <v>62</v>
      </c>
      <c r="D59" s="1">
        <v>960</v>
      </c>
      <c r="E59" s="1" t="s">
        <v>48</v>
      </c>
      <c r="F59" s="50">
        <v>2</v>
      </c>
      <c r="L59" s="25"/>
      <c r="M59" s="80"/>
    </row>
    <row r="60" spans="2:13" ht="16.2" customHeight="1" thickBot="1" x14ac:dyDescent="0.35">
      <c r="E60" s="51" t="s">
        <v>31</v>
      </c>
      <c r="F60" s="52">
        <f>SUM(F59)</f>
        <v>2</v>
      </c>
      <c r="L60" s="25"/>
      <c r="M60" s="25"/>
    </row>
    <row r="61" spans="2:13" x14ac:dyDescent="0.3">
      <c r="L61" s="81"/>
      <c r="M61" s="25"/>
    </row>
    <row r="62" spans="2:13" x14ac:dyDescent="0.3">
      <c r="B62" s="53"/>
      <c r="C62" s="54"/>
      <c r="D62" s="54"/>
      <c r="E62" s="54"/>
      <c r="F62" s="55"/>
      <c r="L62" s="25"/>
      <c r="M62" s="25"/>
    </row>
    <row r="63" spans="2:13" x14ac:dyDescent="0.3">
      <c r="L63" s="25"/>
      <c r="M63" s="25"/>
    </row>
    <row r="64" spans="2:13" x14ac:dyDescent="0.3">
      <c r="L64" s="25"/>
      <c r="M64" s="25"/>
    </row>
    <row r="65" spans="10:13" x14ac:dyDescent="0.3">
      <c r="L65" s="25"/>
    </row>
    <row r="66" spans="10:13" x14ac:dyDescent="0.3">
      <c r="M66" s="25"/>
    </row>
    <row r="67" spans="10:13" x14ac:dyDescent="0.3">
      <c r="M67" s="25"/>
    </row>
    <row r="68" spans="10:13" x14ac:dyDescent="0.3">
      <c r="M68" s="25"/>
    </row>
    <row r="69" spans="10:13" x14ac:dyDescent="0.3">
      <c r="J69" s="28"/>
      <c r="K69" s="71"/>
      <c r="M69" s="25"/>
    </row>
    <row r="70" spans="10:13" x14ac:dyDescent="0.3">
      <c r="J70" s="28"/>
      <c r="K70" s="25"/>
      <c r="M70" s="25"/>
    </row>
    <row r="71" spans="10:13" x14ac:dyDescent="0.3">
      <c r="J71" s="28"/>
      <c r="K71" s="25"/>
      <c r="M71" s="25"/>
    </row>
    <row r="72" spans="10:13" x14ac:dyDescent="0.3">
      <c r="J72" s="28"/>
      <c r="K72" s="25"/>
    </row>
    <row r="73" spans="10:13" x14ac:dyDescent="0.3">
      <c r="J73" s="28"/>
      <c r="K73" s="25"/>
    </row>
    <row r="74" spans="10:13" x14ac:dyDescent="0.3">
      <c r="J74" s="28"/>
      <c r="K74" s="25"/>
    </row>
    <row r="75" spans="10:13" x14ac:dyDescent="0.3">
      <c r="J75" s="28"/>
      <c r="K75" s="25"/>
    </row>
    <row r="76" spans="10:13" x14ac:dyDescent="0.3">
      <c r="J76" s="28"/>
      <c r="K76" s="25"/>
    </row>
    <row r="77" spans="10:13" x14ac:dyDescent="0.3">
      <c r="J77" s="28"/>
      <c r="K77" s="25"/>
    </row>
    <row r="78" spans="10:13" x14ac:dyDescent="0.3">
      <c r="J78" s="28"/>
      <c r="K78" s="25"/>
    </row>
    <row r="79" spans="10:13" x14ac:dyDescent="0.3">
      <c r="J79" s="28"/>
      <c r="K79" s="25"/>
    </row>
    <row r="80" spans="10:13" x14ac:dyDescent="0.3">
      <c r="J80" s="28"/>
      <c r="K80" s="25"/>
    </row>
    <row r="81" spans="10:11" x14ac:dyDescent="0.3">
      <c r="J81" s="28"/>
      <c r="K81" s="25"/>
    </row>
    <row r="82" spans="10:11" x14ac:dyDescent="0.3">
      <c r="J82" s="28"/>
      <c r="K82" s="82"/>
    </row>
    <row r="83" spans="10:11" x14ac:dyDescent="0.3">
      <c r="J83" s="28"/>
      <c r="K83" s="82"/>
    </row>
    <row r="84" spans="10:11" x14ac:dyDescent="0.3">
      <c r="J84" s="28"/>
      <c r="K84" s="82"/>
    </row>
    <row r="85" spans="10:11" x14ac:dyDescent="0.3">
      <c r="J85" s="28"/>
      <c r="K85" s="82"/>
    </row>
    <row r="86" spans="10:11" x14ac:dyDescent="0.3">
      <c r="J86" s="28"/>
      <c r="K86" s="82"/>
    </row>
    <row r="87" spans="10:11" x14ac:dyDescent="0.3">
      <c r="J87" s="28"/>
      <c r="K87" s="82"/>
    </row>
    <row r="88" spans="10:11" x14ac:dyDescent="0.3">
      <c r="J88" s="28"/>
      <c r="K88" s="82"/>
    </row>
    <row r="89" spans="10:11" x14ac:dyDescent="0.3">
      <c r="J89" s="28"/>
      <c r="K89" s="82"/>
    </row>
    <row r="90" spans="10:11" x14ac:dyDescent="0.3">
      <c r="J90" s="28"/>
      <c r="K90" s="25"/>
    </row>
    <row r="91" spans="10:11" x14ac:dyDescent="0.3">
      <c r="J91" s="28"/>
      <c r="K91" s="25"/>
    </row>
    <row r="92" spans="10:11" x14ac:dyDescent="0.3">
      <c r="J92" s="28"/>
      <c r="K92" s="25"/>
    </row>
  </sheetData>
  <sheetProtection sheet="1" objects="1" scenarios="1"/>
  <mergeCells count="16">
    <mergeCell ref="B56:F56"/>
    <mergeCell ref="C8:D8"/>
    <mergeCell ref="E1:F1"/>
    <mergeCell ref="D14:E14"/>
    <mergeCell ref="B46:F46"/>
    <mergeCell ref="B36:F36"/>
    <mergeCell ref="B26:F26"/>
    <mergeCell ref="B1:C1"/>
    <mergeCell ref="B17:F17"/>
    <mergeCell ref="B4:F4"/>
    <mergeCell ref="B2:C2"/>
    <mergeCell ref="C6:D6"/>
    <mergeCell ref="C7:D7"/>
    <mergeCell ref="D15:E15"/>
    <mergeCell ref="E2:F2"/>
    <mergeCell ref="B10:F10"/>
  </mergeCells>
  <dataValidations count="1">
    <dataValidation type="list" showInputMessage="1" showErrorMessage="1" sqref="E21 E31 E41 E59" xr:uid="{00000000-0002-0000-0000-000000000000}">
      <formula1>$I$19:$I$34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2025-02-16T09:28:12Z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