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2\"/>
    </mc:Choice>
  </mc:AlternateContent>
  <xr:revisionPtr revIDLastSave="0" documentId="13_ncr:1_{5D3FC0EE-38B0-406F-9E43-14B43174B0EB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1" l="1"/>
  <c r="F92" i="1"/>
  <c r="F83" i="1"/>
  <c r="F75" i="1"/>
  <c r="F66" i="1"/>
  <c r="F58" i="1"/>
  <c r="F47" i="1"/>
  <c r="F39" i="1"/>
  <c r="F31" i="1"/>
  <c r="F21" i="1"/>
</calcChain>
</file>

<file path=xl/sharedStrings.xml><?xml version="1.0" encoding="utf-8"?>
<sst xmlns="http://schemas.openxmlformats.org/spreadsheetml/2006/main" count="167" uniqueCount="86">
  <si>
    <t>2024EBN111A02</t>
  </si>
  <si>
    <t>Student number:</t>
  </si>
  <si>
    <t>28/02/2024 8:00 AM - 04/03/2024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</si>
  <si>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</si>
  <si>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</si>
  <si>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</si>
  <si>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</si>
  <si>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</si>
  <si>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</si>
  <si>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</si>
  <si>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</si>
  <si>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</si>
  <si>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</si>
  <si>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</si>
  <si>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</si>
  <si>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</si>
  <si>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</si>
  <si>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</si>
  <si>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</si>
  <si>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</si>
  <si>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</si>
  <si>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</si>
  <si>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</si>
  <si>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</si>
  <si>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Vx</t>
  </si>
  <si>
    <t>V</t>
  </si>
  <si>
    <t>&amp;Omega;</t>
  </si>
  <si>
    <t>nA</t>
  </si>
  <si>
    <t>01</t>
  </si>
  <si>
    <t>Vxy</t>
  </si>
  <si>
    <t>ohm</t>
  </si>
  <si>
    <t>&amp;mu;A</t>
  </si>
  <si>
    <t>Total</t>
  </si>
  <si>
    <t>s</t>
  </si>
  <si>
    <t>C</t>
  </si>
  <si>
    <t>A</t>
  </si>
  <si>
    <t>J</t>
  </si>
  <si>
    <t>kohm</t>
  </si>
  <si>
    <t>W</t>
  </si>
  <si>
    <t>Mohm</t>
  </si>
  <si>
    <t>Question 2</t>
  </si>
  <si>
    <t>Gohm</t>
  </si>
  <si>
    <t>VS</t>
  </si>
  <si>
    <t>H</t>
  </si>
  <si>
    <t>R1</t>
  </si>
  <si>
    <t>F</t>
  </si>
  <si>
    <t>R2</t>
  </si>
  <si>
    <t>rad</t>
  </si>
  <si>
    <t>02</t>
  </si>
  <si>
    <t>V1</t>
  </si>
  <si>
    <t>deg</t>
  </si>
  <si>
    <t>Hz</t>
  </si>
  <si>
    <t>Question 3</t>
  </si>
  <si>
    <t>03</t>
  </si>
  <si>
    <t>V0</t>
  </si>
  <si>
    <t>Question 4</t>
  </si>
  <si>
    <t>i1</t>
  </si>
  <si>
    <t>04</t>
  </si>
  <si>
    <t>i2</t>
  </si>
  <si>
    <t>Question 5 to 6</t>
  </si>
  <si>
    <t>05</t>
  </si>
  <si>
    <t>P1</t>
  </si>
  <si>
    <t>06</t>
  </si>
  <si>
    <t>Question 7</t>
  </si>
  <si>
    <t>iR</t>
  </si>
  <si>
    <t>07</t>
  </si>
  <si>
    <t>Question 8</t>
  </si>
  <si>
    <t>08</t>
  </si>
  <si>
    <t>Rcd</t>
  </si>
  <si>
    <t>Question 9</t>
  </si>
  <si>
    <t>09</t>
  </si>
  <si>
    <t>Req</t>
  </si>
  <si>
    <t>Question 10 to 12</t>
  </si>
  <si>
    <t>N</t>
  </si>
  <si>
    <t>L</t>
  </si>
  <si>
    <t>B</t>
  </si>
  <si>
    <t>Question 13</t>
  </si>
  <si>
    <t>IS</t>
  </si>
  <si>
    <t>13</t>
  </si>
  <si>
    <t>12.22816</t>
  </si>
  <si>
    <t>-4.70588</t>
  </si>
  <si>
    <t>-5</t>
  </si>
  <si>
    <t>0.1472</t>
  </si>
  <si>
    <t>0.46249</t>
  </si>
  <si>
    <t>60218.9781</t>
  </si>
  <si>
    <t>10.9091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</si>
</sst>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49" fontId="20" fillId="0" borderId="16" xfId="0" quotePrefix="1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20" fillId="0" borderId="16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20" fillId="0" borderId="9" xfId="0" quotePrefix="1" applyFont="1" applyBorder="1" applyAlignment="1">
      <alignment horizontal="center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3" fillId="6" borderId="15" xfId="0" applyFont="1" applyFill="1" applyBorder="1" applyAlignment="1">
      <alignment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/>
    </xf>
    <xf numFmtId="0" fontId="3" fillId="6" borderId="16" xfId="0" applyFont="1" applyFill="1" applyBorder="1" applyAlignment="1">
      <alignment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0" fillId="0" borderId="21" xfId="0" quotePrefix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164" fontId="9" fillId="4" borderId="1" xfId="0" quotePrefix="1" applyNumberFormat="1" applyFont="1" applyFill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2" fillId="0" borderId="22" xfId="0" applyFont="1" applyBorder="1" applyAlignment="1">
      <alignment horizontal="center" wrapText="1"/>
    </xf>
    <xf numFmtId="0" fontId="22" fillId="0" borderId="23" xfId="0" applyFont="1" applyBorder="1" applyAlignment="1">
      <alignment horizontal="center" wrapText="1"/>
    </xf>
    <xf numFmtId="0" fontId="22" fillId="0" borderId="25" xfId="0" applyFont="1" applyBorder="1" applyAlignment="1">
      <alignment horizontal="center" wrapText="1"/>
    </xf>
    <xf numFmtId="0" fontId="22" fillId="0" borderId="26" xfId="0" applyFont="1" applyBorder="1" applyAlignment="1">
      <alignment horizontal="center" wrapText="1"/>
    </xf>
    <xf numFmtId="0" fontId="21" fillId="0" borderId="24" xfId="0" applyFont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3" xfId="0" quotePrefix="1" applyNumberFormat="1" applyFont="1" applyFill="1" applyBorder="1" applyAlignment="1">
      <alignment horizontal="center" wrapText="1"/>
    </xf>
    <xf numFmtId="6" fontId="9" fillId="6" borderId="17" xfId="0" applyNumberFormat="1" applyFont="1" applyFill="1" applyBorder="1" applyAlignment="1">
      <alignment horizontal="center" wrapText="1"/>
    </xf>
    <xf numFmtId="6" fontId="9" fillId="6" borderId="4" xfId="0" applyNumberFormat="1" applyFont="1" applyFill="1" applyBorder="1" applyAlignment="1">
      <alignment horizontal="center" wrapText="1"/>
    </xf>
    <xf numFmtId="6" fontId="9" fillId="6" borderId="1" xfId="0" quotePrefix="1" applyNumberFormat="1" applyFont="1" applyFill="1" applyBorder="1" applyAlignment="1">
      <alignment horizontal="center" wrapText="1"/>
    </xf>
    <xf numFmtId="6" fontId="9" fillId="6" borderId="6" xfId="0" quotePrefix="1" applyNumberFormat="1" applyFont="1" applyFill="1" applyBorder="1" applyAlignment="1">
      <alignment horizontal="center" wrapText="1"/>
    </xf>
    <xf numFmtId="6" fontId="9" fillId="6" borderId="4" xfId="0" quotePrefix="1" applyNumberFormat="1" applyFont="1" applyFill="1" applyBorder="1" applyAlignment="1">
      <alignment horizontal="center" wrapText="1"/>
    </xf>
    <xf numFmtId="0" fontId="15" fillId="3" borderId="17" xfId="0" quotePrefix="1" applyFont="1" applyFill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>
      <alignment horizontal="center" vertical="center"/>
    </xf>
    <xf numFmtId="0" fontId="0" fillId="0" borderId="20" xfId="0" applyBorder="1"/>
    <xf numFmtId="0" fontId="0" fillId="0" borderId="28" xfId="0" applyBorder="1"/>
    <xf numFmtId="165" fontId="3" fillId="0" borderId="1" xfId="0" applyNumberFormat="1" applyFont="1" applyBorder="1" applyAlignment="1">
      <alignment horizontal="left"/>
    </xf>
    <xf numFmtId="0" fontId="0" fillId="0" borderId="29" xfId="0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Protection="1"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19" fillId="0" borderId="1" xfId="0" applyFont="1" applyBorder="1" applyAlignment="1">
      <alignment horizontal="left" vertical="top"/>
    </xf>
    <xf numFmtId="0" fontId="11" fillId="0" borderId="12" xfId="0" applyFont="1" applyBorder="1" applyAlignment="1">
      <alignment horizontal="center"/>
    </xf>
    <xf numFmtId="0" fontId="0" fillId="0" borderId="32" xfId="0" applyBorder="1"/>
    <xf numFmtId="0" fontId="11" fillId="0" borderId="9" xfId="0" applyFont="1" applyBorder="1" applyAlignment="1">
      <alignment horizontal="center"/>
    </xf>
    <xf numFmtId="0" fontId="0" fillId="0" borderId="31" xfId="0" applyBorder="1"/>
    <xf numFmtId="0" fontId="3" fillId="0" borderId="1" xfId="0" applyFont="1" applyBorder="1" applyAlignment="1">
      <alignment horizontal="center" wrapText="1"/>
    </xf>
    <xf numFmtId="0" fontId="0" fillId="0" borderId="30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2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3984375" style="4" customWidth="1"/>
    <col min="11" max="23" width="4.69921875" customWidth="1"/>
  </cols>
  <sheetData>
    <row r="1" spans="2:13" ht="17.399999999999999" customHeight="1" x14ac:dyDescent="0.3">
      <c r="B1" s="108" t="s">
        <v>0</v>
      </c>
      <c r="C1" s="106"/>
      <c r="D1" s="1" t="s">
        <v>1</v>
      </c>
      <c r="E1" s="107"/>
      <c r="F1" s="106"/>
      <c r="G1" s="2"/>
      <c r="H1" s="3"/>
      <c r="K1" s="5"/>
      <c r="L1" s="5"/>
      <c r="M1" s="5"/>
    </row>
    <row r="2" spans="2:13" x14ac:dyDescent="0.3">
      <c r="B2" s="105" t="s">
        <v>2</v>
      </c>
      <c r="C2" s="106"/>
      <c r="D2" s="1" t="s">
        <v>3</v>
      </c>
      <c r="E2" s="109"/>
      <c r="F2" s="110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18" t="s">
        <v>4</v>
      </c>
      <c r="C4" s="119"/>
      <c r="D4" s="119"/>
      <c r="E4" s="119"/>
      <c r="F4" s="106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13" t="s">
        <v>5</v>
      </c>
      <c r="D6" s="106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13" t="s">
        <v>6</v>
      </c>
      <c r="D7" s="106"/>
      <c r="E7" s="12"/>
      <c r="F7" s="5"/>
      <c r="G7" s="5"/>
      <c r="H7" s="3"/>
      <c r="L7" s="5"/>
      <c r="M7" s="5"/>
    </row>
    <row r="8" spans="2:13" x14ac:dyDescent="0.3">
      <c r="B8" s="15"/>
      <c r="C8" s="113" t="s">
        <v>7</v>
      </c>
      <c r="D8" s="106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1" t="s">
        <v>8</v>
      </c>
      <c r="C10" s="112"/>
      <c r="D10" s="112"/>
      <c r="E10" s="112"/>
      <c r="F10" s="112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16" t="s">
        <v>15</v>
      </c>
      <c r="E14" s="117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4" t="s">
        <v>16</v>
      </c>
      <c r="E15" s="115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2" t="s">
        <v>17</v>
      </c>
      <c r="C17" s="103"/>
      <c r="D17" s="103"/>
      <c r="E17" s="103"/>
      <c r="F17" s="104"/>
    </row>
    <row r="18" spans="2:10" ht="28.8" customHeight="1" thickBot="1" x14ac:dyDescent="0.35">
      <c r="B18" s="32"/>
      <c r="C18" s="33" t="s">
        <v>18</v>
      </c>
      <c r="D18" s="33" t="s">
        <v>19</v>
      </c>
      <c r="E18" s="33" t="s">
        <v>20</v>
      </c>
      <c r="F18" s="34" t="s">
        <v>21</v>
      </c>
      <c r="I18" s="35" t="s">
        <v>22</v>
      </c>
      <c r="J18" s="35" t="s">
        <v>23</v>
      </c>
    </row>
    <row r="19" spans="2:10" ht="16.8" customHeight="1" thickBot="1" x14ac:dyDescent="0.35">
      <c r="B19" s="36"/>
      <c r="C19" s="94" t="s">
        <v>24</v>
      </c>
      <c r="D19" s="37">
        <v>5</v>
      </c>
      <c r="E19" s="38" t="s">
        <v>25</v>
      </c>
      <c r="F19" s="39"/>
      <c r="I19" s="87" t="s">
        <v>26</v>
      </c>
      <c r="J19" s="90" t="s">
        <v>27</v>
      </c>
    </row>
    <row r="20" spans="2:10" ht="16.8" customHeight="1" thickBot="1" x14ac:dyDescent="0.35">
      <c r="B20" s="41" t="s">
        <v>28</v>
      </c>
      <c r="C20" s="42" t="s">
        <v>29</v>
      </c>
      <c r="D20" s="80">
        <v>5</v>
      </c>
      <c r="E20" s="80" t="s">
        <v>25</v>
      </c>
      <c r="F20" s="43">
        <v>2</v>
      </c>
      <c r="I20" s="85" t="s">
        <v>30</v>
      </c>
      <c r="J20" s="89" t="s">
        <v>31</v>
      </c>
    </row>
    <row r="21" spans="2:10" ht="16.2" customHeight="1" thickBot="1" x14ac:dyDescent="0.35">
      <c r="E21" s="44" t="s">
        <v>32</v>
      </c>
      <c r="F21" s="45">
        <f>SUM(F20)</f>
        <v>2</v>
      </c>
      <c r="I21" s="85" t="s">
        <v>33</v>
      </c>
      <c r="J21" s="89" t="s">
        <v>14</v>
      </c>
    </row>
    <row r="22" spans="2:10" x14ac:dyDescent="0.3">
      <c r="I22" s="85" t="s">
        <v>34</v>
      </c>
      <c r="J22" s="89" t="s">
        <v>35</v>
      </c>
    </row>
    <row r="23" spans="2:10" x14ac:dyDescent="0.3">
      <c r="B23" s="46"/>
      <c r="C23" s="47"/>
      <c r="D23" s="47"/>
      <c r="E23" s="47"/>
      <c r="F23" s="48"/>
      <c r="I23" s="85" t="s">
        <v>36</v>
      </c>
      <c r="J23" s="89" t="s">
        <v>37</v>
      </c>
    </row>
    <row r="24" spans="2:10" ht="16.2" customHeight="1" thickBot="1" x14ac:dyDescent="0.35">
      <c r="I24" s="85" t="s">
        <v>38</v>
      </c>
      <c r="J24" s="89" t="s">
        <v>39</v>
      </c>
    </row>
    <row r="25" spans="2:10" ht="18" customHeight="1" thickBot="1" x14ac:dyDescent="0.35">
      <c r="B25" s="102" t="s">
        <v>40</v>
      </c>
      <c r="C25" s="103"/>
      <c r="D25" s="103"/>
      <c r="E25" s="103"/>
      <c r="F25" s="104"/>
      <c r="I25" s="85" t="s">
        <v>25</v>
      </c>
      <c r="J25" s="91" t="s">
        <v>41</v>
      </c>
    </row>
    <row r="26" spans="2:10" ht="28.2" customHeight="1" thickBot="1" x14ac:dyDescent="0.35">
      <c r="B26" s="32"/>
      <c r="C26" s="33" t="s">
        <v>18</v>
      </c>
      <c r="D26" s="33" t="s">
        <v>19</v>
      </c>
      <c r="E26" s="33" t="s">
        <v>20</v>
      </c>
      <c r="F26" s="34" t="s">
        <v>21</v>
      </c>
      <c r="I26" s="86" t="s">
        <v>35</v>
      </c>
      <c r="J26" s="92"/>
    </row>
    <row r="27" spans="2:10" ht="16.2" customHeight="1" x14ac:dyDescent="0.3">
      <c r="B27" s="36"/>
      <c r="C27" s="94" t="s">
        <v>42</v>
      </c>
      <c r="D27" s="37">
        <v>28</v>
      </c>
      <c r="E27" s="38" t="s">
        <v>25</v>
      </c>
      <c r="F27" s="39"/>
      <c r="I27" s="85" t="s">
        <v>43</v>
      </c>
    </row>
    <row r="28" spans="2:10" ht="16.8" customHeight="1" thickBot="1" x14ac:dyDescent="0.35">
      <c r="B28" s="40"/>
      <c r="C28" s="84" t="s">
        <v>44</v>
      </c>
      <c r="D28" s="52">
        <v>49</v>
      </c>
      <c r="E28" s="53" t="s">
        <v>11</v>
      </c>
      <c r="F28" s="54"/>
      <c r="I28" s="85" t="s">
        <v>45</v>
      </c>
    </row>
    <row r="29" spans="2:10" ht="16.8" customHeight="1" thickBot="1" x14ac:dyDescent="0.35">
      <c r="B29" s="68"/>
      <c r="C29" s="95" t="s">
        <v>46</v>
      </c>
      <c r="D29" s="69">
        <v>24</v>
      </c>
      <c r="E29" s="38" t="s">
        <v>11</v>
      </c>
      <c r="F29" s="70"/>
      <c r="I29" s="85" t="s">
        <v>47</v>
      </c>
    </row>
    <row r="30" spans="2:10" ht="16.8" customHeight="1" thickBot="1" x14ac:dyDescent="0.35">
      <c r="B30" s="41" t="s">
        <v>48</v>
      </c>
      <c r="C30" s="42" t="s">
        <v>49</v>
      </c>
      <c r="D30" s="80" t="s">
        <v>79</v>
      </c>
      <c r="E30" s="80" t="s">
        <v>25</v>
      </c>
      <c r="F30" s="43">
        <v>2</v>
      </c>
      <c r="I30" s="85" t="s">
        <v>50</v>
      </c>
    </row>
    <row r="31" spans="2:10" ht="16.2" customHeight="1" thickBot="1" x14ac:dyDescent="0.35">
      <c r="E31" s="44" t="s">
        <v>32</v>
      </c>
      <c r="F31" s="45">
        <f>SUM(F30)</f>
        <v>2</v>
      </c>
      <c r="I31" s="85" t="s">
        <v>51</v>
      </c>
    </row>
    <row r="32" spans="2:10" x14ac:dyDescent="0.3">
      <c r="I32" s="93"/>
    </row>
    <row r="33" spans="2:13" x14ac:dyDescent="0.3">
      <c r="B33" s="46"/>
      <c r="C33" s="47"/>
      <c r="D33" s="47"/>
      <c r="E33" s="47"/>
      <c r="F33" s="48"/>
      <c r="I33" s="88"/>
    </row>
    <row r="34" spans="2:13" ht="16.2" customHeight="1" thickBot="1" x14ac:dyDescent="0.35"/>
    <row r="35" spans="2:13" ht="18" customHeight="1" thickBot="1" x14ac:dyDescent="0.35">
      <c r="B35" s="102" t="s">
        <v>52</v>
      </c>
      <c r="C35" s="103"/>
      <c r="D35" s="103"/>
      <c r="E35" s="103"/>
      <c r="F35" s="104"/>
    </row>
    <row r="36" spans="2:13" ht="28.2" customHeight="1" thickBot="1" x14ac:dyDescent="0.35">
      <c r="B36" s="32"/>
      <c r="C36" s="33" t="s">
        <v>18</v>
      </c>
      <c r="D36" s="33" t="s">
        <v>19</v>
      </c>
      <c r="E36" s="33" t="s">
        <v>20</v>
      </c>
      <c r="F36" s="34" t="s">
        <v>21</v>
      </c>
    </row>
    <row r="37" spans="2:13" ht="16.8" customHeight="1" thickBot="1" x14ac:dyDescent="0.35">
      <c r="B37" s="71"/>
      <c r="C37" s="96" t="s">
        <v>42</v>
      </c>
      <c r="D37" s="72">
        <v>10</v>
      </c>
      <c r="E37" s="73" t="s">
        <v>25</v>
      </c>
      <c r="F37" s="74"/>
    </row>
    <row r="38" spans="2:13" ht="16.8" customHeight="1" thickBot="1" x14ac:dyDescent="0.35">
      <c r="B38" s="55" t="s">
        <v>53</v>
      </c>
      <c r="C38" s="42" t="s">
        <v>54</v>
      </c>
      <c r="D38" s="101" t="s">
        <v>80</v>
      </c>
      <c r="E38" s="80" t="s">
        <v>25</v>
      </c>
      <c r="F38" s="43">
        <v>1</v>
      </c>
    </row>
    <row r="39" spans="2:13" ht="16.2" customHeight="1" thickBot="1" x14ac:dyDescent="0.35">
      <c r="E39" s="44" t="s">
        <v>32</v>
      </c>
      <c r="F39" s="45">
        <f>SUM(F38)</f>
        <v>1</v>
      </c>
    </row>
    <row r="41" spans="2:13" x14ac:dyDescent="0.3">
      <c r="B41" s="46"/>
      <c r="C41" s="47"/>
      <c r="D41" s="47"/>
      <c r="E41" s="47"/>
      <c r="F41" s="48"/>
    </row>
    <row r="42" spans="2:13" ht="16.2" customHeight="1" thickBot="1" x14ac:dyDescent="0.35"/>
    <row r="43" spans="2:13" ht="18" customHeight="1" thickBot="1" x14ac:dyDescent="0.35">
      <c r="B43" s="102" t="s">
        <v>55</v>
      </c>
      <c r="C43" s="103"/>
      <c r="D43" s="103"/>
      <c r="E43" s="103"/>
      <c r="F43" s="104"/>
      <c r="L43" s="24"/>
      <c r="M43" s="24"/>
    </row>
    <row r="44" spans="2:13" ht="28.2" customHeight="1" thickBot="1" x14ac:dyDescent="0.35">
      <c r="B44" s="32"/>
      <c r="C44" s="33" t="s">
        <v>18</v>
      </c>
      <c r="D44" s="33" t="s">
        <v>19</v>
      </c>
      <c r="E44" s="33" t="s">
        <v>20</v>
      </c>
      <c r="F44" s="34" t="s">
        <v>21</v>
      </c>
      <c r="L44" s="24"/>
      <c r="M44" s="24"/>
    </row>
    <row r="45" spans="2:13" ht="16.8" customHeight="1" thickBot="1" x14ac:dyDescent="0.35">
      <c r="B45" s="36"/>
      <c r="C45" s="97" t="s">
        <v>56</v>
      </c>
      <c r="D45" s="65">
        <v>7</v>
      </c>
      <c r="E45" s="66" t="s">
        <v>35</v>
      </c>
      <c r="F45" s="67"/>
      <c r="G45" s="56"/>
      <c r="H45" s="26"/>
      <c r="J45" s="27"/>
    </row>
    <row r="46" spans="2:13" ht="16.8" customHeight="1" thickBot="1" x14ac:dyDescent="0.35">
      <c r="B46" s="55" t="s">
        <v>57</v>
      </c>
      <c r="C46" s="42" t="s">
        <v>58</v>
      </c>
      <c r="D46" s="101" t="s">
        <v>81</v>
      </c>
      <c r="E46" s="80" t="s">
        <v>35</v>
      </c>
      <c r="F46" s="43">
        <v>1</v>
      </c>
      <c r="L46" s="24"/>
      <c r="M46" s="57"/>
    </row>
    <row r="47" spans="2:13" ht="16.2" customHeight="1" thickBot="1" x14ac:dyDescent="0.35">
      <c r="E47" s="44" t="s">
        <v>32</v>
      </c>
      <c r="F47" s="45">
        <f>SUM(F46:F46)</f>
        <v>1</v>
      </c>
      <c r="L47" s="24"/>
      <c r="M47" s="57"/>
    </row>
    <row r="48" spans="2:13" x14ac:dyDescent="0.3">
      <c r="L48" s="24"/>
      <c r="M48" s="24"/>
    </row>
    <row r="49" spans="2:13" x14ac:dyDescent="0.3">
      <c r="B49" s="46"/>
      <c r="C49" s="47"/>
      <c r="D49" s="47"/>
      <c r="E49" s="47"/>
      <c r="F49" s="48"/>
      <c r="L49" s="24"/>
      <c r="M49" s="24"/>
    </row>
    <row r="50" spans="2:13" ht="16.2" customHeight="1" thickBot="1" x14ac:dyDescent="0.35">
      <c r="L50" s="24"/>
      <c r="M50" s="24"/>
    </row>
    <row r="51" spans="2:13" ht="18" customHeight="1" thickBot="1" x14ac:dyDescent="0.35">
      <c r="B51" s="102" t="s">
        <v>59</v>
      </c>
      <c r="C51" s="103"/>
      <c r="D51" s="103"/>
      <c r="E51" s="103"/>
      <c r="F51" s="104"/>
      <c r="L51" s="24"/>
      <c r="M51" s="24"/>
    </row>
    <row r="52" spans="2:13" ht="28.2" customHeight="1" thickBot="1" x14ac:dyDescent="0.35">
      <c r="B52" s="32"/>
      <c r="C52" s="33" t="s">
        <v>18</v>
      </c>
      <c r="D52" s="33" t="s">
        <v>19</v>
      </c>
      <c r="E52" s="33" t="s">
        <v>20</v>
      </c>
      <c r="F52" s="34" t="s">
        <v>21</v>
      </c>
      <c r="L52" s="24"/>
      <c r="M52" s="24"/>
    </row>
    <row r="53" spans="2:13" ht="16.2" customHeight="1" x14ac:dyDescent="0.3">
      <c r="B53" s="120"/>
      <c r="C53" s="94" t="s">
        <v>42</v>
      </c>
      <c r="D53" s="37">
        <v>2</v>
      </c>
      <c r="E53" s="38" t="s">
        <v>25</v>
      </c>
      <c r="F53" s="39"/>
      <c r="L53" s="24"/>
      <c r="M53" s="24"/>
    </row>
    <row r="54" spans="2:13" ht="16.2" customHeight="1" x14ac:dyDescent="0.3">
      <c r="B54" s="121"/>
      <c r="C54" s="84" t="s">
        <v>44</v>
      </c>
      <c r="D54" s="52">
        <v>26</v>
      </c>
      <c r="E54" s="53" t="s">
        <v>26</v>
      </c>
      <c r="F54" s="54"/>
      <c r="L54" s="24"/>
      <c r="M54" s="24"/>
    </row>
    <row r="55" spans="2:13" ht="16.8" customHeight="1" thickBot="1" x14ac:dyDescent="0.35">
      <c r="B55" s="121"/>
      <c r="C55" s="98" t="s">
        <v>46</v>
      </c>
      <c r="D55" s="49">
        <v>23</v>
      </c>
      <c r="E55" s="50" t="s">
        <v>26</v>
      </c>
      <c r="F55" s="51"/>
      <c r="L55" s="24"/>
      <c r="M55" s="24"/>
    </row>
    <row r="56" spans="2:13" ht="16.2" customHeight="1" x14ac:dyDescent="0.3">
      <c r="B56" s="58" t="s">
        <v>60</v>
      </c>
      <c r="C56" s="76" t="s">
        <v>61</v>
      </c>
      <c r="D56" s="81" t="s">
        <v>82</v>
      </c>
      <c r="E56" s="81" t="s">
        <v>38</v>
      </c>
      <c r="F56" s="77">
        <v>2</v>
      </c>
      <c r="L56" s="24"/>
      <c r="M56" s="24"/>
    </row>
    <row r="57" spans="2:13" ht="16.8" customHeight="1" thickBot="1" x14ac:dyDescent="0.35">
      <c r="B57" s="59" t="s">
        <v>62</v>
      </c>
      <c r="C57" s="60" t="s">
        <v>56</v>
      </c>
      <c r="D57" s="82" t="s">
        <v>83</v>
      </c>
      <c r="E57" s="82" t="s">
        <v>35</v>
      </c>
      <c r="F57" s="61">
        <v>1</v>
      </c>
      <c r="L57" s="24"/>
      <c r="M57" s="24"/>
    </row>
    <row r="58" spans="2:13" ht="16.2" customHeight="1" thickBot="1" x14ac:dyDescent="0.35">
      <c r="E58" s="44" t="s">
        <v>32</v>
      </c>
      <c r="F58" s="45">
        <f>SUM(F56:F57)</f>
        <v>3</v>
      </c>
      <c r="L58" s="24"/>
      <c r="M58" s="62"/>
    </row>
    <row r="59" spans="2:13" x14ac:dyDescent="0.3">
      <c r="L59" s="24"/>
      <c r="M59" s="24"/>
    </row>
    <row r="60" spans="2:13" x14ac:dyDescent="0.3">
      <c r="B60" s="46"/>
      <c r="C60" s="47"/>
      <c r="D60" s="47"/>
      <c r="E60" s="47"/>
      <c r="F60" s="48"/>
      <c r="L60" s="63"/>
      <c r="M60" s="24"/>
    </row>
    <row r="61" spans="2:13" ht="16.2" customHeight="1" thickBot="1" x14ac:dyDescent="0.35">
      <c r="L61" s="24"/>
      <c r="M61" s="24"/>
    </row>
    <row r="62" spans="2:13" ht="18" customHeight="1" thickBot="1" x14ac:dyDescent="0.35">
      <c r="B62" s="102" t="s">
        <v>63</v>
      </c>
      <c r="C62" s="103"/>
      <c r="D62" s="103"/>
      <c r="E62" s="103"/>
      <c r="F62" s="104"/>
      <c r="L62" s="24"/>
      <c r="M62" s="24"/>
    </row>
    <row r="63" spans="2:13" ht="28.2" customHeight="1" thickBot="1" x14ac:dyDescent="0.35">
      <c r="B63" s="32"/>
      <c r="C63" s="33" t="s">
        <v>18</v>
      </c>
      <c r="D63" s="33" t="s">
        <v>19</v>
      </c>
      <c r="E63" s="33" t="s">
        <v>20</v>
      </c>
      <c r="F63" s="34" t="s">
        <v>21</v>
      </c>
      <c r="L63" s="24"/>
      <c r="M63" s="24"/>
    </row>
    <row r="64" spans="2:13" ht="16.8" customHeight="1" thickBot="1" x14ac:dyDescent="0.35">
      <c r="B64" s="36"/>
      <c r="C64" s="97" t="s">
        <v>64</v>
      </c>
      <c r="D64" s="65">
        <v>3</v>
      </c>
      <c r="E64" s="66" t="s">
        <v>35</v>
      </c>
      <c r="F64" s="67"/>
      <c r="L64" s="24"/>
    </row>
    <row r="65" spans="2:13" ht="16.8" customHeight="1" thickBot="1" x14ac:dyDescent="0.35">
      <c r="B65" s="55" t="s">
        <v>65</v>
      </c>
      <c r="C65" s="42" t="s">
        <v>42</v>
      </c>
      <c r="D65" s="80">
        <v>80</v>
      </c>
      <c r="E65" s="80" t="s">
        <v>25</v>
      </c>
      <c r="F65" s="43">
        <v>2</v>
      </c>
      <c r="M65" s="24"/>
    </row>
    <row r="66" spans="2:13" ht="16.2" customHeight="1" thickBot="1" x14ac:dyDescent="0.35">
      <c r="E66" s="44" t="s">
        <v>32</v>
      </c>
      <c r="F66" s="45">
        <f>SUM(F65:F65)</f>
        <v>2</v>
      </c>
      <c r="M66" s="24"/>
    </row>
    <row r="67" spans="2:13" x14ac:dyDescent="0.3">
      <c r="M67" s="24"/>
    </row>
    <row r="68" spans="2:13" x14ac:dyDescent="0.3">
      <c r="B68" s="46"/>
      <c r="C68" s="47"/>
      <c r="D68" s="47"/>
      <c r="E68" s="47"/>
      <c r="F68" s="48"/>
      <c r="J68" s="27"/>
      <c r="K68" s="57"/>
      <c r="M68" s="24"/>
    </row>
    <row r="69" spans="2:13" ht="16.2" customHeight="1" thickBot="1" x14ac:dyDescent="0.35">
      <c r="J69" s="27"/>
      <c r="K69" s="24"/>
      <c r="M69" s="24"/>
    </row>
    <row r="70" spans="2:13" ht="18" customHeight="1" thickBot="1" x14ac:dyDescent="0.35">
      <c r="B70" s="102" t="s">
        <v>66</v>
      </c>
      <c r="C70" s="103"/>
      <c r="D70" s="103"/>
      <c r="E70" s="103"/>
      <c r="F70" s="104"/>
      <c r="J70" s="27"/>
      <c r="K70" s="24"/>
      <c r="M70" s="24"/>
    </row>
    <row r="71" spans="2:13" ht="28.2" customHeight="1" thickBot="1" x14ac:dyDescent="0.35">
      <c r="B71" s="32"/>
      <c r="C71" s="33" t="s">
        <v>18</v>
      </c>
      <c r="D71" s="33" t="s">
        <v>19</v>
      </c>
      <c r="E71" s="33" t="s">
        <v>20</v>
      </c>
      <c r="F71" s="34" t="s">
        <v>21</v>
      </c>
      <c r="J71" s="27"/>
      <c r="K71" s="24"/>
    </row>
    <row r="72" spans="2:13" ht="16.2" customHeight="1" x14ac:dyDescent="0.3">
      <c r="B72" s="36"/>
      <c r="C72" s="99" t="s">
        <v>44</v>
      </c>
      <c r="D72" s="37">
        <v>77</v>
      </c>
      <c r="E72" s="38" t="s">
        <v>11</v>
      </c>
      <c r="F72" s="39"/>
      <c r="J72" s="27"/>
      <c r="K72" s="24"/>
    </row>
    <row r="73" spans="2:13" ht="16.8" customHeight="1" thickBot="1" x14ac:dyDescent="0.35">
      <c r="B73" s="40"/>
      <c r="C73" s="84" t="s">
        <v>46</v>
      </c>
      <c r="D73" s="52">
        <v>45</v>
      </c>
      <c r="E73" s="53" t="s">
        <v>11</v>
      </c>
      <c r="F73" s="54"/>
      <c r="J73" s="27"/>
      <c r="K73" s="24"/>
    </row>
    <row r="74" spans="2:13" ht="16.8" customHeight="1" thickBot="1" x14ac:dyDescent="0.35">
      <c r="B74" s="41" t="s">
        <v>67</v>
      </c>
      <c r="C74" s="42" t="s">
        <v>68</v>
      </c>
      <c r="D74" s="80" t="s">
        <v>84</v>
      </c>
      <c r="E74" s="80" t="s">
        <v>26</v>
      </c>
      <c r="F74" s="43">
        <v>2</v>
      </c>
      <c r="J74" s="27"/>
      <c r="K74" s="24"/>
    </row>
    <row r="75" spans="2:13" ht="16.2" customHeight="1" thickBot="1" x14ac:dyDescent="0.35">
      <c r="E75" s="44" t="s">
        <v>32</v>
      </c>
      <c r="F75" s="45">
        <f>SUM(F74)</f>
        <v>2</v>
      </c>
      <c r="J75" s="27"/>
      <c r="K75" s="24"/>
    </row>
    <row r="76" spans="2:13" x14ac:dyDescent="0.3">
      <c r="J76" s="27"/>
      <c r="K76" s="24"/>
    </row>
    <row r="77" spans="2:13" x14ac:dyDescent="0.3">
      <c r="B77" s="46"/>
      <c r="C77" s="47"/>
      <c r="D77" s="47"/>
      <c r="E77" s="47"/>
      <c r="F77" s="48"/>
      <c r="J77" s="27"/>
      <c r="K77" s="24"/>
    </row>
    <row r="78" spans="2:13" ht="16.2" customHeight="1" thickBot="1" x14ac:dyDescent="0.35">
      <c r="J78" s="27"/>
      <c r="K78" s="24"/>
    </row>
    <row r="79" spans="2:13" ht="18" customHeight="1" thickBot="1" x14ac:dyDescent="0.35">
      <c r="B79" s="102" t="s">
        <v>69</v>
      </c>
      <c r="C79" s="103"/>
      <c r="D79" s="103"/>
      <c r="E79" s="103"/>
      <c r="F79" s="104"/>
      <c r="J79" s="27"/>
      <c r="K79" s="24"/>
    </row>
    <row r="80" spans="2:13" ht="28.2" customHeight="1" thickBot="1" x14ac:dyDescent="0.35">
      <c r="B80" s="32"/>
      <c r="C80" s="33" t="s">
        <v>18</v>
      </c>
      <c r="D80" s="33" t="s">
        <v>19</v>
      </c>
      <c r="E80" s="33" t="s">
        <v>20</v>
      </c>
      <c r="F80" s="34" t="s">
        <v>21</v>
      </c>
      <c r="J80" s="27"/>
      <c r="K80" s="64"/>
    </row>
    <row r="81" spans="2:11" ht="16.8" customHeight="1" thickBot="1" x14ac:dyDescent="0.35">
      <c r="B81" s="36"/>
      <c r="C81" s="100" t="s">
        <v>44</v>
      </c>
      <c r="D81" s="65">
        <v>95</v>
      </c>
      <c r="E81" s="66" t="s">
        <v>26</v>
      </c>
      <c r="F81" s="67"/>
      <c r="J81" s="27"/>
      <c r="K81" s="64"/>
    </row>
    <row r="82" spans="2:11" ht="16.8" customHeight="1" thickBot="1" x14ac:dyDescent="0.35">
      <c r="B82" s="55" t="s">
        <v>70</v>
      </c>
      <c r="C82" s="42" t="s">
        <v>71</v>
      </c>
      <c r="D82" s="80">
        <v>95</v>
      </c>
      <c r="E82" s="80" t="s">
        <v>26</v>
      </c>
      <c r="F82" s="43">
        <v>2</v>
      </c>
      <c r="J82" s="27"/>
      <c r="K82" s="64"/>
    </row>
    <row r="83" spans="2:11" ht="16.2" customHeight="1" thickBot="1" x14ac:dyDescent="0.35">
      <c r="E83" s="44" t="s">
        <v>32</v>
      </c>
      <c r="F83" s="45">
        <f>SUM(F82:F82)</f>
        <v>2</v>
      </c>
      <c r="J83" s="27"/>
      <c r="K83" s="64"/>
    </row>
    <row r="84" spans="2:11" x14ac:dyDescent="0.3">
      <c r="J84" s="27"/>
      <c r="K84" s="64"/>
    </row>
    <row r="85" spans="2:11" x14ac:dyDescent="0.3">
      <c r="B85" s="46"/>
      <c r="C85" s="47"/>
      <c r="D85" s="47"/>
      <c r="E85" s="47"/>
      <c r="F85" s="48"/>
      <c r="J85" s="27"/>
      <c r="K85" s="64"/>
    </row>
    <row r="86" spans="2:11" ht="16.2" customHeight="1" thickBot="1" x14ac:dyDescent="0.35">
      <c r="J86" s="27"/>
      <c r="K86" s="64"/>
    </row>
    <row r="87" spans="2:11" ht="18" customHeight="1" thickBot="1" x14ac:dyDescent="0.35">
      <c r="B87" s="102" t="s">
        <v>72</v>
      </c>
      <c r="C87" s="103"/>
      <c r="D87" s="103"/>
      <c r="E87" s="103"/>
      <c r="F87" s="104"/>
      <c r="J87" s="27"/>
      <c r="K87" s="64"/>
    </row>
    <row r="88" spans="2:11" ht="28.2" customHeight="1" thickBot="1" x14ac:dyDescent="0.35">
      <c r="B88" s="32"/>
      <c r="C88" s="33" t="s">
        <v>18</v>
      </c>
      <c r="D88" s="33" t="s">
        <v>19</v>
      </c>
      <c r="E88" s="33" t="s">
        <v>20</v>
      </c>
      <c r="F88" s="34" t="s">
        <v>21</v>
      </c>
      <c r="J88" s="27"/>
      <c r="K88" s="24"/>
    </row>
    <row r="89" spans="2:11" x14ac:dyDescent="0.3">
      <c r="B89" s="58">
        <v>10</v>
      </c>
      <c r="C89" s="76" t="s">
        <v>73</v>
      </c>
      <c r="D89" s="81">
        <v>2</v>
      </c>
      <c r="E89" s="47"/>
      <c r="F89" s="77">
        <v>1</v>
      </c>
    </row>
    <row r="90" spans="2:11" x14ac:dyDescent="0.3">
      <c r="B90" s="78">
        <v>11</v>
      </c>
      <c r="C90" s="75" t="s">
        <v>74</v>
      </c>
      <c r="D90" s="83">
        <v>3</v>
      </c>
      <c r="E90" s="47"/>
      <c r="F90" s="79">
        <v>1</v>
      </c>
    </row>
    <row r="91" spans="2:11" ht="16.2" customHeight="1" thickBot="1" x14ac:dyDescent="0.35">
      <c r="B91" s="59">
        <v>12</v>
      </c>
      <c r="C91" s="60" t="s">
        <v>75</v>
      </c>
      <c r="D91" s="82">
        <v>4</v>
      </c>
      <c r="E91" s="47"/>
      <c r="F91" s="61">
        <v>1</v>
      </c>
    </row>
    <row r="92" spans="2:11" ht="16.2" customHeight="1" thickBot="1" x14ac:dyDescent="0.35">
      <c r="E92" s="44" t="s">
        <v>32</v>
      </c>
      <c r="F92" s="45">
        <f>SUM(F89:F91)</f>
        <v>3</v>
      </c>
    </row>
    <row r="94" spans="2:11" x14ac:dyDescent="0.3">
      <c r="B94" s="46"/>
      <c r="C94" s="47"/>
      <c r="D94" s="47"/>
      <c r="E94" s="47"/>
      <c r="F94" s="48"/>
    </row>
    <row r="95" spans="2:11" ht="16.2" customHeight="1" thickBot="1" x14ac:dyDescent="0.35"/>
    <row r="96" spans="2:11" ht="18" customHeight="1" thickBot="1" x14ac:dyDescent="0.35">
      <c r="B96" s="102" t="s">
        <v>76</v>
      </c>
      <c r="C96" s="103"/>
      <c r="D96" s="103"/>
      <c r="E96" s="103"/>
      <c r="F96" s="104"/>
    </row>
    <row r="97" spans="2:6" ht="28.2" customHeight="1" thickBot="1" x14ac:dyDescent="0.35">
      <c r="B97" s="32"/>
      <c r="C97" s="33" t="s">
        <v>18</v>
      </c>
      <c r="D97" s="33" t="s">
        <v>19</v>
      </c>
      <c r="E97" s="33" t="s">
        <v>20</v>
      </c>
      <c r="F97" s="34" t="s">
        <v>21</v>
      </c>
    </row>
    <row r="98" spans="2:6" ht="16.8" customHeight="1" thickBot="1" x14ac:dyDescent="0.35">
      <c r="B98" s="36"/>
      <c r="C98" s="97" t="s">
        <v>77</v>
      </c>
      <c r="D98" s="65">
        <v>0.8</v>
      </c>
      <c r="E98" s="66" t="s">
        <v>35</v>
      </c>
      <c r="F98" s="67"/>
    </row>
    <row r="99" spans="2:6" ht="16.8" customHeight="1" thickBot="1" x14ac:dyDescent="0.35">
      <c r="B99" s="55" t="s">
        <v>78</v>
      </c>
      <c r="C99" s="42" t="s">
        <v>24</v>
      </c>
      <c r="D99" s="80" t="s">
        <v>85</v>
      </c>
      <c r="E99" s="80" t="s">
        <v>25</v>
      </c>
      <c r="F99" s="43">
        <v>2</v>
      </c>
    </row>
    <row r="100" spans="2:6" ht="16.2" customHeight="1" thickBot="1" x14ac:dyDescent="0.35">
      <c r="E100" s="44" t="s">
        <v>32</v>
      </c>
      <c r="F100" s="45">
        <f>SUM(F99:F99)</f>
        <v>2</v>
      </c>
    </row>
    <row r="102" spans="2:6" x14ac:dyDescent="0.3">
      <c r="B102" s="46"/>
      <c r="C102" s="47"/>
      <c r="D102" s="47"/>
      <c r="E102" s="47"/>
      <c r="F102" s="48"/>
    </row>
  </sheetData>
  <mergeCells count="22">
    <mergeCell ref="B4:F4"/>
    <mergeCell ref="B53:B55"/>
    <mergeCell ref="C6:D6"/>
    <mergeCell ref="B62:F62"/>
    <mergeCell ref="B25:F25"/>
    <mergeCell ref="B35:F35"/>
    <mergeCell ref="B96:F96"/>
    <mergeCell ref="B70:F70"/>
    <mergeCell ref="B43:F43"/>
    <mergeCell ref="B2:C2"/>
    <mergeCell ref="E1:F1"/>
    <mergeCell ref="B1:C1"/>
    <mergeCell ref="B17:F17"/>
    <mergeCell ref="B87:F87"/>
    <mergeCell ref="E2:F2"/>
    <mergeCell ref="B10:F10"/>
    <mergeCell ref="C8:D8"/>
    <mergeCell ref="C7:D7"/>
    <mergeCell ref="D15:E15"/>
    <mergeCell ref="B51:F51"/>
    <mergeCell ref="D14:E14"/>
    <mergeCell ref="B79:F79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2025-02-16T09:28:43Z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