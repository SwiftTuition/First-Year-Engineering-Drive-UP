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5\"/>
    </mc:Choice>
  </mc:AlternateContent>
  <xr:revisionPtr revIDLastSave="0" documentId="13_ncr:1_{F13E7848-8ED3-414A-B7F2-3C832D0B493B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7" i="1" l="1"/>
  <c r="F86" i="1"/>
  <c r="F57" i="1"/>
  <c r="F45" i="1"/>
  <c r="F34" i="1"/>
  <c r="F26" i="1"/>
</calcChain>
</file>

<file path=xl/sharedStrings.xml><?xml version="1.0" encoding="utf-8"?>
<sst xmlns="http://schemas.openxmlformats.org/spreadsheetml/2006/main" count="185" uniqueCount="94">
  <si>
    <t>2022EBN111A05</t>
  </si>
  <si>
    <t>Student number:</t>
  </si>
  <si>
    <t>21495034</t>
  </si>
  <si>
    <t>26/04/2022 8:00 AM - 03/05/2022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</si>
  <si>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</si>
  <si>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</si>
  <si>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</si>
  <si>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</si>
  <si>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</si>
  <si>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</si>
  <si>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</si>
  <si>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</si>
  <si>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</si>
  <si>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</si>
  <si>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</si>
  <si>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</si>
  <si>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</si>
  <si>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</si>
  <si>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</si>
  <si>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</si>
  <si>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</si>
  <si>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</si>
  <si>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</si>
  <si>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</si>
  <si>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</si>
  <si>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ohm</t>
  </si>
  <si>
    <t>&amp;Omega;</t>
  </si>
  <si>
    <t>nA</t>
  </si>
  <si>
    <t>&amp;mu;A</t>
  </si>
  <si>
    <t>s</t>
  </si>
  <si>
    <t>C</t>
  </si>
  <si>
    <t>A</t>
  </si>
  <si>
    <t>01</t>
  </si>
  <si>
    <t>I0/Is</t>
  </si>
  <si>
    <t>J</t>
  </si>
  <si>
    <t>kohm</t>
  </si>
  <si>
    <t>Total</t>
  </si>
  <si>
    <t>W</t>
  </si>
  <si>
    <t>Mohm</t>
  </si>
  <si>
    <t>V</t>
  </si>
  <si>
    <t>Gohm</t>
  </si>
  <si>
    <t>H</t>
  </si>
  <si>
    <t>Question 2</t>
  </si>
  <si>
    <t>F</t>
  </si>
  <si>
    <t>rad</t>
  </si>
  <si>
    <t>Vx</t>
  </si>
  <si>
    <t>deg</t>
  </si>
  <si>
    <t>02</t>
  </si>
  <si>
    <t>I0(Vx)</t>
  </si>
  <si>
    <t>Hz</t>
  </si>
  <si>
    <t>Question 3</t>
  </si>
  <si>
    <t>V1</t>
  </si>
  <si>
    <t xml:space="preserve">ohm </t>
  </si>
  <si>
    <t>03</t>
  </si>
  <si>
    <t>V2</t>
  </si>
  <si>
    <t>Question 4</t>
  </si>
  <si>
    <t>v1</t>
  </si>
  <si>
    <t>i1</t>
  </si>
  <si>
    <t>i2</t>
  </si>
  <si>
    <t>04</t>
  </si>
  <si>
    <t>VTh</t>
  </si>
  <si>
    <t>Question 5</t>
  </si>
  <si>
    <t>05</t>
  </si>
  <si>
    <t>Question 6 to 7</t>
  </si>
  <si>
    <t>06</t>
  </si>
  <si>
    <t>IN</t>
  </si>
  <si>
    <t>07</t>
  </si>
  <si>
    <t>RN</t>
  </si>
  <si>
    <t>Question 8</t>
  </si>
  <si>
    <t>I1</t>
  </si>
  <si>
    <t>08</t>
  </si>
  <si>
    <t>Question 9 to 11</t>
  </si>
  <si>
    <t>09</t>
  </si>
  <si>
    <t>10</t>
  </si>
  <si>
    <t>RTh</t>
  </si>
  <si>
    <t>11</t>
  </si>
  <si>
    <t>Pmax</t>
  </si>
  <si>
    <t>Question 12 to 13</t>
  </si>
  <si>
    <t>V+</t>
  </si>
  <si>
    <t>13</t>
  </si>
  <si>
    <t>ix</t>
  </si>
  <si>
    <t>14</t>
  </si>
  <si>
    <t>v0/vi</t>
  </si>
  <si>
    <t>Question 14</t>
  </si>
  <si>
    <t>Rz</t>
  </si>
  <si>
    <t>15</t>
  </si>
  <si>
    <t>Va</t>
  </si>
  <si>
    <t>Reyneke, R</t>
  </si>
  <si>
    <t>2.38</t>
  </si>
  <si>
    <t>0.261</t>
  </si>
  <si>
    <t>-0.083</t>
  </si>
  <si>
    <t>6.94</t>
  </si>
  <si>
    <t>12.67</t>
  </si>
  <si>
    <t>83.16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</si>
</sst>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0" fillId="0" borderId="0" xfId="0"/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4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49" fontId="19" fillId="0" borderId="16" xfId="0" quotePrefix="1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5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5" xfId="0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15" fillId="6" borderId="28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wrapText="1"/>
    </xf>
    <xf numFmtId="0" fontId="9" fillId="6" borderId="29" xfId="0" applyFont="1" applyFill="1" applyBorder="1" applyAlignment="1">
      <alignment horizontal="center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6" fontId="9" fillId="6" borderId="28" xfId="0" applyNumberFormat="1" applyFont="1" applyFill="1" applyBorder="1" applyAlignment="1">
      <alignment horizontal="center" wrapText="1"/>
    </xf>
    <xf numFmtId="0" fontId="2" fillId="0" borderId="30" xfId="0" applyFont="1" applyBorder="1" applyAlignment="1">
      <alignment horizontal="center" vertical="center"/>
    </xf>
    <xf numFmtId="0" fontId="0" fillId="0" borderId="23" xfId="0" applyBorder="1"/>
    <xf numFmtId="0" fontId="0" fillId="0" borderId="31" xfId="0" applyBorder="1"/>
    <xf numFmtId="0" fontId="3" fillId="6" borderId="3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0" fontId="3" fillId="6" borderId="3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0" fillId="0" borderId="33" xfId="0" applyBorder="1"/>
    <xf numFmtId="0" fontId="4" fillId="3" borderId="1" xfId="0" applyFont="1" applyFill="1" applyBorder="1" applyAlignment="1">
      <alignment horizontal="center"/>
    </xf>
    <xf numFmtId="0" fontId="0" fillId="0" borderId="34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5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11" fillId="0" borderId="11" xfId="0" applyFont="1" applyBorder="1" applyAlignment="1">
      <alignment horizontal="center"/>
    </xf>
    <xf numFmtId="0" fontId="0" fillId="0" borderId="37" xfId="0" applyBorder="1"/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5" fillId="3" borderId="18" xfId="0" quotePrefix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72"/>
  <sheetViews>
    <sheetView showGridLines="0" tabSelected="1" topLeftCell="A100" zoomScaleNormal="100" workbookViewId="0">
      <selection activeCell="I97" sqref="I97"/>
    </sheetView>
  </sheetViews>
  <sheetFormatPr defaultColWidth="11.08203125" defaultRowHeight="15.5" x14ac:dyDescent="0.35"/>
  <cols>
    <col min="1" max="1" width="2.4140625" style="67" customWidth="1"/>
    <col min="2" max="2" width="9.58203125" style="67" customWidth="1"/>
    <col min="3" max="3" width="38.9140625" style="67" customWidth="1"/>
    <col min="4" max="4" width="25.9140625" style="67" customWidth="1"/>
    <col min="5" max="5" width="17.58203125" style="67" customWidth="1"/>
    <col min="6" max="6" width="13.5" style="67" customWidth="1"/>
    <col min="7" max="7" width="5.08203125" style="67" customWidth="1"/>
    <col min="8" max="8" width="4.6640625" style="31" customWidth="1"/>
    <col min="9" max="9" width="15.08203125" style="67" customWidth="1"/>
    <col min="10" max="10" width="14.6640625" style="4" customWidth="1"/>
    <col min="11" max="23" width="4.6640625" style="67" customWidth="1"/>
    <col min="24" max="24" width="11.08203125" style="67" customWidth="1"/>
    <col min="25" max="16384" width="11.08203125" style="67"/>
  </cols>
  <sheetData>
    <row r="1" spans="2:13" ht="17.399999999999999" customHeight="1" x14ac:dyDescent="0.35">
      <c r="B1" s="119" t="s">
        <v>0</v>
      </c>
      <c r="C1" s="113"/>
      <c r="D1" s="1" t="s">
        <v>1</v>
      </c>
      <c r="E1" s="112" t="s">
        <v>2</v>
      </c>
      <c r="F1" s="113"/>
      <c r="G1" s="2"/>
      <c r="H1" s="3"/>
      <c r="K1" s="5"/>
      <c r="L1" s="5"/>
      <c r="M1" s="5"/>
    </row>
    <row r="2" spans="2:13" x14ac:dyDescent="0.35">
      <c r="B2" s="114" t="s">
        <v>3</v>
      </c>
      <c r="C2" s="113"/>
      <c r="D2" s="1" t="s">
        <v>4</v>
      </c>
      <c r="E2" s="115" t="s">
        <v>87</v>
      </c>
      <c r="F2" s="116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17" t="s">
        <v>5</v>
      </c>
      <c r="C4" s="118"/>
      <c r="D4" s="118"/>
      <c r="E4" s="118"/>
      <c r="F4" s="113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24" t="s">
        <v>6</v>
      </c>
      <c r="D6" s="113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24" t="s">
        <v>7</v>
      </c>
      <c r="D7" s="113"/>
      <c r="E7" s="12"/>
      <c r="F7" s="5"/>
      <c r="G7" s="5"/>
      <c r="H7" s="3"/>
      <c r="L7" s="5"/>
      <c r="M7" s="5"/>
    </row>
    <row r="8" spans="2:13" x14ac:dyDescent="0.35">
      <c r="B8" s="15"/>
      <c r="C8" s="124" t="s">
        <v>8</v>
      </c>
      <c r="D8" s="113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25" t="s">
        <v>9</v>
      </c>
      <c r="C10" s="126"/>
      <c r="D10" s="126"/>
      <c r="E10" s="126"/>
      <c r="F10" s="126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20" t="s">
        <v>16</v>
      </c>
      <c r="E14" s="121"/>
      <c r="F14" s="25">
        <v>25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22" t="s">
        <v>17</v>
      </c>
      <c r="E15" s="123"/>
      <c r="F15" s="28">
        <v>25</v>
      </c>
      <c r="G15" s="24"/>
      <c r="H15" s="26"/>
      <c r="J15" s="27"/>
    </row>
    <row r="16" spans="2:13" ht="20.399999999999999" customHeight="1" x14ac:dyDescent="0.4">
      <c r="B16" s="23"/>
      <c r="C16" s="24"/>
      <c r="D16" s="29"/>
      <c r="E16" s="29"/>
      <c r="F16" s="30"/>
      <c r="G16" s="24"/>
      <c r="H16" s="26"/>
      <c r="J16" s="27"/>
    </row>
    <row r="17" spans="2:10" x14ac:dyDescent="0.35">
      <c r="B17" s="51"/>
      <c r="C17" s="52"/>
      <c r="D17" s="52"/>
      <c r="E17" s="52"/>
      <c r="F17" s="53"/>
      <c r="G17" s="24"/>
      <c r="H17" s="26"/>
      <c r="J17" s="27"/>
    </row>
    <row r="18" spans="2:10" ht="21" customHeight="1" thickBot="1" x14ac:dyDescent="0.45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4">
      <c r="B19" s="103" t="s">
        <v>18</v>
      </c>
      <c r="C19" s="104"/>
      <c r="D19" s="104"/>
      <c r="E19" s="104"/>
      <c r="F19" s="105"/>
      <c r="G19" s="24"/>
      <c r="H19" s="26"/>
      <c r="J19" s="27"/>
    </row>
    <row r="20" spans="2:10" ht="28.75" customHeight="1" thickBot="1" x14ac:dyDescent="0.4">
      <c r="B20" s="32"/>
      <c r="C20" s="33" t="s">
        <v>19</v>
      </c>
      <c r="D20" s="33" t="s">
        <v>20</v>
      </c>
      <c r="E20" s="33" t="s">
        <v>21</v>
      </c>
      <c r="F20" s="34" t="s">
        <v>22</v>
      </c>
      <c r="G20" s="24"/>
      <c r="H20" s="26"/>
      <c r="I20" s="35" t="s">
        <v>23</v>
      </c>
      <c r="J20" s="63" t="s">
        <v>24</v>
      </c>
    </row>
    <row r="21" spans="2:10" x14ac:dyDescent="0.35">
      <c r="B21" s="110"/>
      <c r="C21" s="99">
        <v>1</v>
      </c>
      <c r="D21" s="37">
        <v>1</v>
      </c>
      <c r="E21" s="38" t="s">
        <v>25</v>
      </c>
      <c r="F21" s="39"/>
      <c r="G21" s="24"/>
      <c r="H21" s="26"/>
      <c r="I21" s="40" t="s">
        <v>26</v>
      </c>
      <c r="J21" s="64" t="s">
        <v>27</v>
      </c>
    </row>
    <row r="22" spans="2:10" x14ac:dyDescent="0.35">
      <c r="B22" s="107"/>
      <c r="C22" s="78">
        <v>2</v>
      </c>
      <c r="D22" s="79">
        <v>7</v>
      </c>
      <c r="E22" s="80" t="s">
        <v>25</v>
      </c>
      <c r="F22" s="81"/>
      <c r="G22" s="24"/>
      <c r="H22" s="26"/>
      <c r="I22" s="54" t="s">
        <v>25</v>
      </c>
      <c r="J22" s="65" t="s">
        <v>28</v>
      </c>
    </row>
    <row r="23" spans="2:10" x14ac:dyDescent="0.35">
      <c r="B23" s="107"/>
      <c r="C23" s="100">
        <v>3</v>
      </c>
      <c r="D23" s="89">
        <v>9</v>
      </c>
      <c r="E23" s="90" t="s">
        <v>25</v>
      </c>
      <c r="F23" s="91"/>
      <c r="G23" s="24"/>
      <c r="H23" s="26"/>
      <c r="I23" s="54" t="s">
        <v>29</v>
      </c>
      <c r="J23" s="65" t="s">
        <v>15</v>
      </c>
    </row>
    <row r="24" spans="2:10" ht="16.25" customHeight="1" thickBot="1" x14ac:dyDescent="0.4">
      <c r="B24" s="111"/>
      <c r="C24" s="92">
        <v>4</v>
      </c>
      <c r="D24" s="93">
        <v>10</v>
      </c>
      <c r="E24" s="94" t="s">
        <v>25</v>
      </c>
      <c r="F24" s="95"/>
      <c r="G24" s="24"/>
      <c r="H24" s="26"/>
      <c r="I24" s="54" t="s">
        <v>30</v>
      </c>
      <c r="J24" s="65" t="s">
        <v>31</v>
      </c>
    </row>
    <row r="25" spans="2:10" ht="16.25" customHeight="1" thickBot="1" x14ac:dyDescent="0.4">
      <c r="B25" s="85" t="s">
        <v>32</v>
      </c>
      <c r="C25" s="86" t="s">
        <v>33</v>
      </c>
      <c r="D25" s="87" t="s">
        <v>89</v>
      </c>
      <c r="E25" s="52"/>
      <c r="F25" s="88">
        <v>2</v>
      </c>
      <c r="G25" s="24"/>
      <c r="H25" s="26"/>
      <c r="I25" s="54" t="s">
        <v>34</v>
      </c>
      <c r="J25" s="65" t="s">
        <v>35</v>
      </c>
    </row>
    <row r="26" spans="2:10" ht="16.25" customHeight="1" thickBot="1" x14ac:dyDescent="0.4">
      <c r="E26" s="49" t="s">
        <v>36</v>
      </c>
      <c r="F26" s="50">
        <f>SUM(F25:F25)</f>
        <v>2</v>
      </c>
      <c r="G26" s="24"/>
      <c r="H26" s="26"/>
      <c r="I26" s="54" t="s">
        <v>37</v>
      </c>
      <c r="J26" s="65" t="s">
        <v>38</v>
      </c>
    </row>
    <row r="27" spans="2:10" ht="16.25" customHeight="1" thickBot="1" x14ac:dyDescent="0.4">
      <c r="G27" s="24"/>
      <c r="H27" s="26"/>
      <c r="I27" s="54" t="s">
        <v>39</v>
      </c>
      <c r="J27" s="66" t="s">
        <v>40</v>
      </c>
    </row>
    <row r="28" spans="2:10" x14ac:dyDescent="0.35">
      <c r="B28" s="51"/>
      <c r="C28" s="52"/>
      <c r="D28" s="52"/>
      <c r="E28" s="52"/>
      <c r="F28" s="53"/>
      <c r="G28" s="24"/>
      <c r="H28" s="26"/>
      <c r="I28" s="55" t="s">
        <v>31</v>
      </c>
    </row>
    <row r="29" spans="2:10" ht="16.25" customHeight="1" thickBot="1" x14ac:dyDescent="0.4">
      <c r="G29" s="24"/>
      <c r="H29" s="26"/>
      <c r="I29" s="54" t="s">
        <v>41</v>
      </c>
    </row>
    <row r="30" spans="2:10" ht="18" customHeight="1" thickBot="1" x14ac:dyDescent="0.4">
      <c r="B30" s="103" t="s">
        <v>42</v>
      </c>
      <c r="C30" s="104"/>
      <c r="D30" s="104"/>
      <c r="E30" s="104"/>
      <c r="F30" s="105"/>
      <c r="I30" s="54" t="s">
        <v>43</v>
      </c>
    </row>
    <row r="31" spans="2:10" ht="28.25" customHeight="1" thickBot="1" x14ac:dyDescent="0.4">
      <c r="B31" s="32"/>
      <c r="C31" s="33" t="s">
        <v>19</v>
      </c>
      <c r="D31" s="33" t="s">
        <v>20</v>
      </c>
      <c r="E31" s="33" t="s">
        <v>21</v>
      </c>
      <c r="F31" s="34" t="s">
        <v>22</v>
      </c>
      <c r="I31" s="54" t="s">
        <v>44</v>
      </c>
    </row>
    <row r="32" spans="2:10" ht="16.25" customHeight="1" thickBot="1" x14ac:dyDescent="0.4">
      <c r="B32" s="36"/>
      <c r="C32" s="99" t="s">
        <v>45</v>
      </c>
      <c r="D32" s="37">
        <v>10</v>
      </c>
      <c r="E32" s="38" t="s">
        <v>39</v>
      </c>
      <c r="F32" s="39"/>
      <c r="I32" s="54" t="s">
        <v>46</v>
      </c>
    </row>
    <row r="33" spans="2:9" ht="16.25" customHeight="1" thickBot="1" x14ac:dyDescent="0.4">
      <c r="B33" s="46" t="s">
        <v>47</v>
      </c>
      <c r="C33" s="47" t="s">
        <v>48</v>
      </c>
      <c r="D33" s="127" t="s">
        <v>90</v>
      </c>
      <c r="E33" s="69" t="s">
        <v>15</v>
      </c>
      <c r="F33" s="48">
        <v>2</v>
      </c>
      <c r="I33" s="56" t="s">
        <v>49</v>
      </c>
    </row>
    <row r="34" spans="2:9" ht="16.25" customHeight="1" thickBot="1" x14ac:dyDescent="0.4">
      <c r="E34" s="49" t="s">
        <v>36</v>
      </c>
      <c r="F34" s="50">
        <f>SUM(F33)</f>
        <v>2</v>
      </c>
    </row>
    <row r="36" spans="2:9" x14ac:dyDescent="0.35">
      <c r="B36" s="51"/>
      <c r="C36" s="52"/>
      <c r="D36" s="52"/>
      <c r="E36" s="52"/>
      <c r="F36" s="53"/>
    </row>
    <row r="37" spans="2:9" ht="16.25" customHeight="1" thickBot="1" x14ac:dyDescent="0.4"/>
    <row r="38" spans="2:9" ht="18" customHeight="1" thickBot="1" x14ac:dyDescent="0.4">
      <c r="B38" s="103" t="s">
        <v>50</v>
      </c>
      <c r="C38" s="104"/>
      <c r="D38" s="104"/>
      <c r="E38" s="104"/>
      <c r="F38" s="105"/>
    </row>
    <row r="39" spans="2:9" ht="28.25" customHeight="1" thickBot="1" x14ac:dyDescent="0.4">
      <c r="B39" s="32"/>
      <c r="C39" s="33" t="s">
        <v>19</v>
      </c>
      <c r="D39" s="33" t="s">
        <v>20</v>
      </c>
      <c r="E39" s="33" t="s">
        <v>21</v>
      </c>
      <c r="F39" s="34" t="s">
        <v>22</v>
      </c>
    </row>
    <row r="40" spans="2:9" x14ac:dyDescent="0.35">
      <c r="B40" s="106"/>
      <c r="C40" s="99" t="s">
        <v>45</v>
      </c>
      <c r="D40" s="37">
        <v>20</v>
      </c>
      <c r="E40" s="38" t="s">
        <v>39</v>
      </c>
      <c r="F40" s="39"/>
    </row>
    <row r="41" spans="2:9" x14ac:dyDescent="0.35">
      <c r="B41" s="107"/>
      <c r="C41" s="78" t="s">
        <v>51</v>
      </c>
      <c r="D41" s="79">
        <v>-6</v>
      </c>
      <c r="E41" s="80" t="s">
        <v>39</v>
      </c>
      <c r="F41" s="81"/>
    </row>
    <row r="42" spans="2:9" x14ac:dyDescent="0.35">
      <c r="B42" s="107"/>
      <c r="C42" s="100">
        <v>1</v>
      </c>
      <c r="D42" s="89">
        <v>6</v>
      </c>
      <c r="E42" s="90" t="s">
        <v>25</v>
      </c>
      <c r="F42" s="91"/>
    </row>
    <row r="43" spans="2:9" ht="16.25" customHeight="1" thickBot="1" x14ac:dyDescent="0.4">
      <c r="B43" s="108"/>
      <c r="C43" s="92">
        <v>2</v>
      </c>
      <c r="D43" s="93">
        <v>2.5</v>
      </c>
      <c r="E43" s="94" t="s">
        <v>52</v>
      </c>
      <c r="F43" s="95"/>
    </row>
    <row r="44" spans="2:9" ht="16.25" customHeight="1" thickBot="1" x14ac:dyDescent="0.4">
      <c r="B44" s="85" t="s">
        <v>53</v>
      </c>
      <c r="C44" s="86" t="s">
        <v>54</v>
      </c>
      <c r="D44" s="87">
        <v>28</v>
      </c>
      <c r="E44" s="87" t="s">
        <v>39</v>
      </c>
      <c r="F44" s="88">
        <v>2</v>
      </c>
    </row>
    <row r="45" spans="2:9" ht="16.25" customHeight="1" thickBot="1" x14ac:dyDescent="0.4">
      <c r="E45" s="49" t="s">
        <v>36</v>
      </c>
      <c r="F45" s="50">
        <f>SUM(F44)</f>
        <v>2</v>
      </c>
    </row>
    <row r="47" spans="2:9" x14ac:dyDescent="0.35">
      <c r="B47" s="51"/>
      <c r="C47" s="52"/>
      <c r="D47" s="52"/>
      <c r="E47" s="52"/>
      <c r="F47" s="53"/>
    </row>
    <row r="48" spans="2:9" ht="16.25" customHeight="1" thickBot="1" x14ac:dyDescent="0.4"/>
    <row r="49" spans="2:6" ht="18" customHeight="1" thickBot="1" x14ac:dyDescent="0.4">
      <c r="B49" s="103" t="s">
        <v>55</v>
      </c>
      <c r="C49" s="104"/>
      <c r="D49" s="104"/>
      <c r="E49" s="104"/>
      <c r="F49" s="105"/>
    </row>
    <row r="50" spans="2:6" ht="28.25" customHeight="1" thickBot="1" x14ac:dyDescent="0.4">
      <c r="B50" s="32"/>
      <c r="C50" s="33" t="s">
        <v>19</v>
      </c>
      <c r="D50" s="33" t="s">
        <v>20</v>
      </c>
      <c r="E50" s="33" t="s">
        <v>21</v>
      </c>
      <c r="F50" s="34" t="s">
        <v>22</v>
      </c>
    </row>
    <row r="51" spans="2:6" x14ac:dyDescent="0.35">
      <c r="B51" s="110"/>
      <c r="C51" s="99">
        <v>1</v>
      </c>
      <c r="D51" s="37">
        <v>7</v>
      </c>
      <c r="E51" s="38" t="s">
        <v>25</v>
      </c>
      <c r="F51" s="39"/>
    </row>
    <row r="52" spans="2:6" x14ac:dyDescent="0.35">
      <c r="B52" s="107"/>
      <c r="C52" s="78">
        <v>2</v>
      </c>
      <c r="D52" s="79">
        <v>15</v>
      </c>
      <c r="E52" s="80" t="s">
        <v>25</v>
      </c>
      <c r="F52" s="81"/>
    </row>
    <row r="53" spans="2:6" x14ac:dyDescent="0.35">
      <c r="B53" s="107"/>
      <c r="C53" s="100" t="s">
        <v>56</v>
      </c>
      <c r="D53" s="89">
        <v>3</v>
      </c>
      <c r="E53" s="90" t="s">
        <v>39</v>
      </c>
      <c r="F53" s="91"/>
    </row>
    <row r="54" spans="2:6" x14ac:dyDescent="0.35">
      <c r="B54" s="107"/>
      <c r="C54" s="78" t="s">
        <v>57</v>
      </c>
      <c r="D54" s="79">
        <v>180</v>
      </c>
      <c r="E54" s="80" t="s">
        <v>15</v>
      </c>
      <c r="F54" s="81"/>
    </row>
    <row r="55" spans="2:6" ht="16.25" customHeight="1" thickBot="1" x14ac:dyDescent="0.4">
      <c r="B55" s="111"/>
      <c r="C55" s="101" t="s">
        <v>58</v>
      </c>
      <c r="D55" s="82">
        <v>110</v>
      </c>
      <c r="E55" s="83" t="s">
        <v>15</v>
      </c>
      <c r="F55" s="84"/>
    </row>
    <row r="56" spans="2:6" ht="16.25" customHeight="1" thickBot="1" x14ac:dyDescent="0.4">
      <c r="B56" s="85" t="s">
        <v>59</v>
      </c>
      <c r="C56" s="86" t="s">
        <v>60</v>
      </c>
      <c r="D56" s="87" t="s">
        <v>88</v>
      </c>
      <c r="E56" s="69" t="s">
        <v>39</v>
      </c>
      <c r="F56" s="88">
        <v>2</v>
      </c>
    </row>
    <row r="57" spans="2:6" ht="16.25" customHeight="1" thickBot="1" x14ac:dyDescent="0.4">
      <c r="E57" s="49" t="s">
        <v>36</v>
      </c>
      <c r="F57" s="50">
        <f>SUM(F56:F56)</f>
        <v>2</v>
      </c>
    </row>
    <row r="59" spans="2:6" x14ac:dyDescent="0.35">
      <c r="B59" s="51"/>
      <c r="C59" s="52"/>
      <c r="D59" s="52"/>
      <c r="E59" s="52"/>
      <c r="F59" s="53"/>
    </row>
    <row r="61" spans="2:6" ht="16.25" customHeight="1" thickBot="1" x14ac:dyDescent="0.4"/>
    <row r="62" spans="2:6" ht="18" customHeight="1" thickBot="1" x14ac:dyDescent="0.4">
      <c r="B62" s="103" t="s">
        <v>61</v>
      </c>
      <c r="C62" s="104"/>
      <c r="D62" s="104"/>
      <c r="E62" s="104"/>
      <c r="F62" s="105"/>
    </row>
    <row r="63" spans="2:6" ht="28.25" customHeight="1" thickBot="1" x14ac:dyDescent="0.4">
      <c r="B63" s="32"/>
      <c r="C63" s="33" t="s">
        <v>19</v>
      </c>
      <c r="D63" s="33" t="s">
        <v>20</v>
      </c>
      <c r="E63" s="33" t="s">
        <v>21</v>
      </c>
      <c r="F63" s="34" t="s">
        <v>22</v>
      </c>
    </row>
    <row r="64" spans="2:6" ht="16.25" customHeight="1" thickBot="1" x14ac:dyDescent="0.4">
      <c r="B64" s="36"/>
      <c r="C64" s="99" t="s">
        <v>45</v>
      </c>
      <c r="D64" s="37">
        <v>62</v>
      </c>
      <c r="E64" s="38" t="s">
        <v>39</v>
      </c>
      <c r="F64" s="39"/>
    </row>
    <row r="65" spans="2:6" ht="16.25" customHeight="1" thickBot="1" x14ac:dyDescent="0.4">
      <c r="B65" s="46" t="s">
        <v>62</v>
      </c>
      <c r="C65" s="86" t="s">
        <v>60</v>
      </c>
      <c r="D65" s="69">
        <v>-30</v>
      </c>
      <c r="E65" s="69" t="s">
        <v>39</v>
      </c>
      <c r="F65" s="48">
        <v>2</v>
      </c>
    </row>
    <row r="66" spans="2:6" ht="16.25" customHeight="1" thickBot="1" x14ac:dyDescent="0.4">
      <c r="E66" s="49" t="s">
        <v>36</v>
      </c>
      <c r="F66" s="50">
        <v>2</v>
      </c>
    </row>
    <row r="68" spans="2:6" x14ac:dyDescent="0.35">
      <c r="B68" s="51"/>
      <c r="C68" s="52"/>
      <c r="D68" s="52"/>
      <c r="E68" s="52"/>
      <c r="F68" s="53"/>
    </row>
    <row r="69" spans="2:6" ht="16.25" customHeight="1" thickBot="1" x14ac:dyDescent="0.4"/>
    <row r="70" spans="2:6" ht="18" customHeight="1" thickBot="1" x14ac:dyDescent="0.4">
      <c r="B70" s="103" t="s">
        <v>63</v>
      </c>
      <c r="C70" s="104"/>
      <c r="D70" s="104"/>
      <c r="E70" s="104"/>
      <c r="F70" s="105"/>
    </row>
    <row r="71" spans="2:6" ht="28.25" customHeight="1" thickBot="1" x14ac:dyDescent="0.4">
      <c r="B71" s="32"/>
      <c r="C71" s="33" t="s">
        <v>19</v>
      </c>
      <c r="D71" s="33" t="s">
        <v>20</v>
      </c>
      <c r="E71" s="33" t="s">
        <v>21</v>
      </c>
      <c r="F71" s="34" t="s">
        <v>22</v>
      </c>
    </row>
    <row r="72" spans="2:6" x14ac:dyDescent="0.35">
      <c r="B72" s="109"/>
      <c r="C72" s="99">
        <v>1</v>
      </c>
      <c r="D72" s="37">
        <v>15</v>
      </c>
      <c r="E72" s="38" t="s">
        <v>25</v>
      </c>
      <c r="F72" s="39"/>
    </row>
    <row r="73" spans="2:6" x14ac:dyDescent="0.35">
      <c r="B73" s="107"/>
      <c r="C73" s="78">
        <v>2</v>
      </c>
      <c r="D73" s="79">
        <v>13</v>
      </c>
      <c r="E73" s="80" t="s">
        <v>25</v>
      </c>
      <c r="F73" s="81"/>
    </row>
    <row r="74" spans="2:6" ht="16.25" customHeight="1" thickBot="1" x14ac:dyDescent="0.4">
      <c r="B74" s="107"/>
      <c r="C74" s="102" t="s">
        <v>57</v>
      </c>
      <c r="D74" s="96">
        <v>5</v>
      </c>
      <c r="E74" s="97" t="s">
        <v>31</v>
      </c>
      <c r="F74" s="98"/>
    </row>
    <row r="75" spans="2:6" x14ac:dyDescent="0.35">
      <c r="B75" s="61" t="s">
        <v>64</v>
      </c>
      <c r="C75" s="73" t="s">
        <v>65</v>
      </c>
      <c r="D75" s="74" t="s">
        <v>91</v>
      </c>
      <c r="E75" s="74" t="s">
        <v>31</v>
      </c>
      <c r="F75" s="75">
        <v>2</v>
      </c>
    </row>
    <row r="76" spans="2:6" ht="16.25" customHeight="1" thickBot="1" x14ac:dyDescent="0.4">
      <c r="B76" s="62" t="s">
        <v>66</v>
      </c>
      <c r="C76" s="58" t="s">
        <v>67</v>
      </c>
      <c r="D76" s="70">
        <v>28</v>
      </c>
      <c r="E76" s="70" t="s">
        <v>25</v>
      </c>
      <c r="F76" s="59">
        <v>2</v>
      </c>
    </row>
    <row r="77" spans="2:6" ht="16.25" customHeight="1" thickBot="1" x14ac:dyDescent="0.4">
      <c r="E77" s="49" t="s">
        <v>36</v>
      </c>
      <c r="F77" s="50">
        <v>4</v>
      </c>
    </row>
    <row r="79" spans="2:6" x14ac:dyDescent="0.35">
      <c r="B79" s="51"/>
      <c r="C79" s="52"/>
      <c r="D79" s="52"/>
      <c r="E79" s="52"/>
      <c r="F79" s="53"/>
    </row>
    <row r="80" spans="2:6" ht="16.25" customHeight="1" thickBot="1" x14ac:dyDescent="0.4"/>
    <row r="81" spans="2:6" ht="18" customHeight="1" thickBot="1" x14ac:dyDescent="0.4">
      <c r="B81" s="103" t="s">
        <v>68</v>
      </c>
      <c r="C81" s="104"/>
      <c r="D81" s="104"/>
      <c r="E81" s="104"/>
      <c r="F81" s="105"/>
    </row>
    <row r="82" spans="2:6" ht="28.25" customHeight="1" thickBot="1" x14ac:dyDescent="0.4">
      <c r="B82" s="32"/>
      <c r="C82" s="33" t="s">
        <v>19</v>
      </c>
      <c r="D82" s="33" t="s">
        <v>20</v>
      </c>
      <c r="E82" s="33" t="s">
        <v>21</v>
      </c>
      <c r="F82" s="34" t="s">
        <v>22</v>
      </c>
    </row>
    <row r="83" spans="2:6" x14ac:dyDescent="0.35">
      <c r="B83" s="109"/>
      <c r="C83" s="99" t="s">
        <v>51</v>
      </c>
      <c r="D83" s="37">
        <v>10</v>
      </c>
      <c r="E83" s="38" t="s">
        <v>39</v>
      </c>
      <c r="F83" s="39"/>
    </row>
    <row r="84" spans="2:6" ht="16.25" customHeight="1" thickBot="1" x14ac:dyDescent="0.4">
      <c r="B84" s="107"/>
      <c r="C84" s="78" t="s">
        <v>69</v>
      </c>
      <c r="D84" s="79">
        <v>19</v>
      </c>
      <c r="E84" s="80" t="s">
        <v>15</v>
      </c>
      <c r="F84" s="81"/>
    </row>
    <row r="85" spans="2:6" ht="16.25" customHeight="1" thickBot="1" x14ac:dyDescent="0.4">
      <c r="B85" s="46" t="s">
        <v>70</v>
      </c>
      <c r="C85" s="47" t="s">
        <v>65</v>
      </c>
      <c r="D85" s="69" t="s">
        <v>92</v>
      </c>
      <c r="E85" s="69" t="s">
        <v>15</v>
      </c>
      <c r="F85" s="48">
        <v>2</v>
      </c>
    </row>
    <row r="86" spans="2:6" ht="16.25" customHeight="1" thickBot="1" x14ac:dyDescent="0.4">
      <c r="E86" s="49" t="s">
        <v>36</v>
      </c>
      <c r="F86" s="50">
        <f>SUM(F85:F85)</f>
        <v>2</v>
      </c>
    </row>
    <row r="88" spans="2:6" x14ac:dyDescent="0.35">
      <c r="B88" s="51"/>
      <c r="C88" s="52"/>
      <c r="D88" s="52"/>
      <c r="E88" s="52"/>
      <c r="F88" s="53"/>
    </row>
    <row r="89" spans="2:6" ht="16.25" customHeight="1" thickBot="1" x14ac:dyDescent="0.4"/>
    <row r="90" spans="2:6" ht="18" customHeight="1" thickBot="1" x14ac:dyDescent="0.4">
      <c r="B90" s="103" t="s">
        <v>71</v>
      </c>
      <c r="C90" s="104"/>
      <c r="D90" s="104"/>
      <c r="E90" s="104"/>
      <c r="F90" s="105"/>
    </row>
    <row r="91" spans="2:6" ht="28.25" customHeight="1" thickBot="1" x14ac:dyDescent="0.4">
      <c r="B91" s="32"/>
      <c r="C91" s="33" t="s">
        <v>19</v>
      </c>
      <c r="D91" s="33" t="s">
        <v>20</v>
      </c>
      <c r="E91" s="33" t="s">
        <v>21</v>
      </c>
      <c r="F91" s="34" t="s">
        <v>22</v>
      </c>
    </row>
    <row r="92" spans="2:6" x14ac:dyDescent="0.35">
      <c r="B92" s="36"/>
      <c r="C92" s="99">
        <v>1</v>
      </c>
      <c r="D92" s="37">
        <v>24</v>
      </c>
      <c r="E92" s="38" t="s">
        <v>25</v>
      </c>
      <c r="F92" s="39"/>
    </row>
    <row r="93" spans="2:6" ht="16.25" customHeight="1" thickBot="1" x14ac:dyDescent="0.4">
      <c r="B93" s="41"/>
      <c r="C93" s="42" t="s">
        <v>45</v>
      </c>
      <c r="D93" s="43">
        <v>3</v>
      </c>
      <c r="E93" s="44" t="s">
        <v>39</v>
      </c>
      <c r="F93" s="45"/>
    </row>
    <row r="94" spans="2:6" x14ac:dyDescent="0.35">
      <c r="B94" s="61" t="s">
        <v>72</v>
      </c>
      <c r="C94" s="73" t="s">
        <v>60</v>
      </c>
      <c r="D94" s="74">
        <v>93</v>
      </c>
      <c r="E94" s="74" t="s">
        <v>39</v>
      </c>
      <c r="F94" s="75">
        <v>2</v>
      </c>
    </row>
    <row r="95" spans="2:6" x14ac:dyDescent="0.35">
      <c r="B95" s="76" t="s">
        <v>73</v>
      </c>
      <c r="C95" s="71" t="s">
        <v>74</v>
      </c>
      <c r="D95" s="72">
        <v>26</v>
      </c>
      <c r="E95" s="72" t="s">
        <v>25</v>
      </c>
      <c r="F95" s="77">
        <v>1</v>
      </c>
    </row>
    <row r="96" spans="2:6" ht="16.25" customHeight="1" thickBot="1" x14ac:dyDescent="0.4">
      <c r="B96" s="62" t="s">
        <v>75</v>
      </c>
      <c r="C96" s="58" t="s">
        <v>76</v>
      </c>
      <c r="D96" s="70" t="s">
        <v>93</v>
      </c>
      <c r="E96" s="70" t="s">
        <v>37</v>
      </c>
      <c r="F96" s="59">
        <v>1</v>
      </c>
    </row>
    <row r="97" spans="2:6" ht="16.25" customHeight="1" thickBot="1" x14ac:dyDescent="0.4">
      <c r="E97" s="49" t="s">
        <v>36</v>
      </c>
      <c r="F97" s="50">
        <f>SUM(F94:F96)</f>
        <v>4</v>
      </c>
    </row>
    <row r="99" spans="2:6" x14ac:dyDescent="0.35">
      <c r="B99" s="51"/>
      <c r="C99" s="52"/>
      <c r="D99" s="52"/>
      <c r="E99" s="52"/>
      <c r="F99" s="53"/>
    </row>
    <row r="101" spans="2:6" ht="16.25" customHeight="1" thickBot="1" x14ac:dyDescent="0.4"/>
    <row r="102" spans="2:6" ht="18" customHeight="1" thickBot="1" x14ac:dyDescent="0.4">
      <c r="B102" s="103" t="s">
        <v>77</v>
      </c>
      <c r="C102" s="104"/>
      <c r="D102" s="104"/>
      <c r="E102" s="104"/>
      <c r="F102" s="105"/>
    </row>
    <row r="103" spans="2:6" ht="28.25" customHeight="1" thickBot="1" x14ac:dyDescent="0.4">
      <c r="B103" s="32"/>
      <c r="C103" s="33" t="s">
        <v>19</v>
      </c>
      <c r="D103" s="33" t="s">
        <v>20</v>
      </c>
      <c r="E103" s="33" t="s">
        <v>21</v>
      </c>
      <c r="F103" s="34" t="s">
        <v>22</v>
      </c>
    </row>
    <row r="104" spans="2:6" x14ac:dyDescent="0.35">
      <c r="B104" s="106"/>
      <c r="C104" s="99">
        <v>3</v>
      </c>
      <c r="D104" s="37">
        <v>6</v>
      </c>
      <c r="E104" s="38" t="s">
        <v>35</v>
      </c>
      <c r="F104" s="39"/>
    </row>
    <row r="105" spans="2:6" x14ac:dyDescent="0.35">
      <c r="B105" s="107"/>
      <c r="C105" s="78">
        <v>4</v>
      </c>
      <c r="D105" s="79">
        <v>1</v>
      </c>
      <c r="E105" s="80" t="s">
        <v>35</v>
      </c>
      <c r="F105" s="81"/>
    </row>
    <row r="106" spans="2:6" x14ac:dyDescent="0.35">
      <c r="B106" s="107"/>
      <c r="C106" s="102">
        <v>0</v>
      </c>
      <c r="D106" s="96">
        <v>21</v>
      </c>
      <c r="E106" s="97" t="s">
        <v>25</v>
      </c>
      <c r="F106" s="98"/>
    </row>
    <row r="107" spans="2:6" ht="16.25" customHeight="1" thickBot="1" x14ac:dyDescent="0.4">
      <c r="B107" s="108"/>
      <c r="C107" s="78" t="s">
        <v>78</v>
      </c>
      <c r="D107" s="79">
        <v>1</v>
      </c>
      <c r="E107" s="80" t="s">
        <v>39</v>
      </c>
      <c r="F107" s="81"/>
    </row>
    <row r="108" spans="2:6" x14ac:dyDescent="0.35">
      <c r="B108" s="61" t="s">
        <v>79</v>
      </c>
      <c r="C108" s="73" t="s">
        <v>80</v>
      </c>
      <c r="D108" s="74"/>
      <c r="E108" s="74"/>
      <c r="F108" s="75">
        <v>1</v>
      </c>
    </row>
    <row r="109" spans="2:6" ht="16.25" customHeight="1" thickBot="1" x14ac:dyDescent="0.4">
      <c r="B109" s="62" t="s">
        <v>81</v>
      </c>
      <c r="C109" s="58" t="s">
        <v>82</v>
      </c>
      <c r="D109" s="70"/>
      <c r="E109" s="52"/>
      <c r="F109" s="59">
        <v>1</v>
      </c>
    </row>
    <row r="110" spans="2:6" ht="16.25" customHeight="1" thickBot="1" x14ac:dyDescent="0.4">
      <c r="E110" s="49" t="s">
        <v>36</v>
      </c>
      <c r="F110" s="50">
        <v>2</v>
      </c>
    </row>
    <row r="112" spans="2:6" x14ac:dyDescent="0.35">
      <c r="B112" s="51"/>
      <c r="C112" s="52"/>
      <c r="D112" s="52"/>
      <c r="E112" s="52"/>
      <c r="F112" s="53"/>
    </row>
    <row r="113" spans="2:6" ht="16.25" customHeight="1" thickBot="1" x14ac:dyDescent="0.4">
      <c r="C113" s="31"/>
      <c r="E113" s="4"/>
    </row>
    <row r="114" spans="2:6" ht="18" customHeight="1" thickBot="1" x14ac:dyDescent="0.4">
      <c r="B114" s="103" t="s">
        <v>83</v>
      </c>
      <c r="C114" s="104"/>
      <c r="D114" s="104"/>
      <c r="E114" s="104"/>
      <c r="F114" s="105"/>
    </row>
    <row r="115" spans="2:6" ht="28.25" customHeight="1" thickBot="1" x14ac:dyDescent="0.4">
      <c r="B115" s="32"/>
      <c r="C115" s="33" t="s">
        <v>19</v>
      </c>
      <c r="D115" s="33" t="s">
        <v>20</v>
      </c>
      <c r="E115" s="33" t="s">
        <v>21</v>
      </c>
      <c r="F115" s="34" t="s">
        <v>22</v>
      </c>
    </row>
    <row r="116" spans="2:6" ht="16.25" customHeight="1" thickBot="1" x14ac:dyDescent="0.4">
      <c r="B116" s="36"/>
      <c r="C116" s="99" t="s">
        <v>84</v>
      </c>
      <c r="D116" s="37">
        <v>5</v>
      </c>
      <c r="E116" s="38" t="s">
        <v>35</v>
      </c>
      <c r="F116" s="39"/>
    </row>
    <row r="117" spans="2:6" ht="16.25" customHeight="1" thickBot="1" x14ac:dyDescent="0.4">
      <c r="B117" s="46" t="s">
        <v>85</v>
      </c>
      <c r="C117" s="47" t="s">
        <v>86</v>
      </c>
      <c r="D117" s="69"/>
      <c r="E117" s="69"/>
      <c r="F117" s="48">
        <v>1</v>
      </c>
    </row>
    <row r="118" spans="2:6" ht="16.25" customHeight="1" thickBot="1" x14ac:dyDescent="0.4">
      <c r="E118" s="49" t="s">
        <v>36</v>
      </c>
      <c r="F118" s="50">
        <v>1</v>
      </c>
    </row>
    <row r="120" spans="2:6" x14ac:dyDescent="0.35">
      <c r="B120" s="51"/>
      <c r="C120" s="52"/>
      <c r="D120" s="52"/>
      <c r="E120" s="52"/>
      <c r="F120" s="53"/>
    </row>
    <row r="121" spans="2:6" x14ac:dyDescent="0.35">
      <c r="C121" s="31"/>
      <c r="E121" s="4"/>
    </row>
    <row r="133" spans="3:5" x14ac:dyDescent="0.35">
      <c r="C133" s="31"/>
      <c r="E133" s="4"/>
    </row>
    <row r="134" spans="3:5" x14ac:dyDescent="0.35">
      <c r="C134" s="31"/>
      <c r="E134" s="4"/>
    </row>
    <row r="138" spans="3:5" x14ac:dyDescent="0.35">
      <c r="C138" s="31"/>
      <c r="E138" s="4"/>
    </row>
    <row r="139" spans="3:5" x14ac:dyDescent="0.35">
      <c r="C139" s="31"/>
      <c r="E139" s="4"/>
    </row>
    <row r="140" spans="3:5" x14ac:dyDescent="0.35">
      <c r="C140" s="31"/>
      <c r="E140" s="4"/>
    </row>
    <row r="141" spans="3:5" x14ac:dyDescent="0.35">
      <c r="C141" s="31"/>
      <c r="D141" s="68"/>
    </row>
    <row r="142" spans="3:5" x14ac:dyDescent="0.35">
      <c r="C142" s="31"/>
    </row>
    <row r="143" spans="3:5" x14ac:dyDescent="0.35">
      <c r="C143" s="31"/>
    </row>
    <row r="144" spans="3:5" x14ac:dyDescent="0.35">
      <c r="C144" s="31"/>
    </row>
    <row r="145" spans="3:11" x14ac:dyDescent="0.35">
      <c r="C145" s="31"/>
      <c r="D145" s="68"/>
      <c r="G145" s="24"/>
      <c r="H145" s="24"/>
    </row>
    <row r="146" spans="3:11" x14ac:dyDescent="0.35">
      <c r="C146" s="31"/>
      <c r="D146" s="68"/>
      <c r="G146" s="24"/>
      <c r="H146" s="24"/>
    </row>
    <row r="147" spans="3:11" x14ac:dyDescent="0.35">
      <c r="C147" s="31"/>
      <c r="D147" s="68"/>
      <c r="G147" s="24"/>
    </row>
    <row r="148" spans="3:11" x14ac:dyDescent="0.35">
      <c r="C148" s="31"/>
      <c r="H148" s="24"/>
    </row>
    <row r="149" spans="3:11" x14ac:dyDescent="0.35">
      <c r="C149" s="31"/>
      <c r="H149" s="24"/>
    </row>
    <row r="150" spans="3:11" x14ac:dyDescent="0.35">
      <c r="C150" s="31"/>
      <c r="H150" s="24"/>
    </row>
    <row r="151" spans="3:11" x14ac:dyDescent="0.35">
      <c r="C151" s="31"/>
      <c r="E151" s="27"/>
      <c r="F151" s="57"/>
      <c r="H151" s="24"/>
    </row>
    <row r="152" spans="3:11" x14ac:dyDescent="0.35">
      <c r="C152" s="31"/>
      <c r="E152" s="27"/>
      <c r="F152" s="24"/>
      <c r="H152" s="24"/>
    </row>
    <row r="153" spans="3:11" x14ac:dyDescent="0.35">
      <c r="C153" s="31"/>
      <c r="E153" s="27"/>
      <c r="F153" s="24"/>
      <c r="H153" s="24"/>
    </row>
    <row r="154" spans="3:11" x14ac:dyDescent="0.35">
      <c r="C154" s="31"/>
      <c r="E154" s="27"/>
      <c r="F154" s="24"/>
      <c r="H154" s="24"/>
    </row>
    <row r="155" spans="3:11" x14ac:dyDescent="0.35">
      <c r="C155" s="31"/>
      <c r="E155" s="27"/>
      <c r="F155" s="24"/>
    </row>
    <row r="156" spans="3:11" x14ac:dyDescent="0.35">
      <c r="C156" s="31"/>
      <c r="E156" s="27"/>
      <c r="F156" s="24"/>
    </row>
    <row r="157" spans="3:11" x14ac:dyDescent="0.35">
      <c r="C157" s="31"/>
      <c r="E157" s="27"/>
      <c r="F157" s="24"/>
    </row>
    <row r="158" spans="3:11" x14ac:dyDescent="0.35">
      <c r="C158" s="31"/>
      <c r="E158" s="27"/>
      <c r="F158" s="24"/>
    </row>
    <row r="159" spans="3:11" x14ac:dyDescent="0.35">
      <c r="C159" s="31"/>
      <c r="E159" s="27"/>
      <c r="F159" s="24"/>
    </row>
    <row r="160" spans="3:11" x14ac:dyDescent="0.35">
      <c r="J160" s="27"/>
      <c r="K160" s="24"/>
    </row>
    <row r="161" spans="10:11" x14ac:dyDescent="0.35">
      <c r="J161" s="27"/>
      <c r="K161" s="24"/>
    </row>
    <row r="162" spans="10:11" x14ac:dyDescent="0.35">
      <c r="J162" s="27"/>
      <c r="K162" s="60"/>
    </row>
    <row r="163" spans="10:11" x14ac:dyDescent="0.35">
      <c r="J163" s="27"/>
      <c r="K163" s="60"/>
    </row>
    <row r="164" spans="10:11" x14ac:dyDescent="0.35">
      <c r="J164" s="27"/>
      <c r="K164" s="60"/>
    </row>
    <row r="165" spans="10:11" x14ac:dyDescent="0.35">
      <c r="J165" s="27"/>
      <c r="K165" s="60"/>
    </row>
    <row r="166" spans="10:11" x14ac:dyDescent="0.35">
      <c r="J166" s="27"/>
      <c r="K166" s="60"/>
    </row>
    <row r="167" spans="10:11" x14ac:dyDescent="0.35">
      <c r="J167" s="27"/>
      <c r="K167" s="60"/>
    </row>
    <row r="168" spans="10:11" x14ac:dyDescent="0.35">
      <c r="J168" s="27"/>
      <c r="K168" s="60"/>
    </row>
    <row r="169" spans="10:11" x14ac:dyDescent="0.35">
      <c r="J169" s="27"/>
      <c r="K169" s="60"/>
    </row>
    <row r="170" spans="10:11" x14ac:dyDescent="0.35">
      <c r="J170" s="27"/>
      <c r="K170" s="24"/>
    </row>
    <row r="171" spans="10:11" x14ac:dyDescent="0.35">
      <c r="J171" s="27"/>
      <c r="K171" s="24"/>
    </row>
    <row r="172" spans="10:11" x14ac:dyDescent="0.35">
      <c r="J172" s="27"/>
      <c r="K172" s="24"/>
    </row>
  </sheetData>
  <mergeCells count="27">
    <mergeCell ref="D14:E14"/>
    <mergeCell ref="D15:E15"/>
    <mergeCell ref="C6:D6"/>
    <mergeCell ref="C7:D7"/>
    <mergeCell ref="C8:D8"/>
    <mergeCell ref="B10:F10"/>
    <mergeCell ref="E1:F1"/>
    <mergeCell ref="B2:C2"/>
    <mergeCell ref="E2:F2"/>
    <mergeCell ref="B4:F4"/>
    <mergeCell ref="B1:C1"/>
    <mergeCell ref="B19:F19"/>
    <mergeCell ref="B21:B24"/>
    <mergeCell ref="B70:F70"/>
    <mergeCell ref="B72:B74"/>
    <mergeCell ref="B81:F81"/>
    <mergeCell ref="B30:F30"/>
    <mergeCell ref="B38:F38"/>
    <mergeCell ref="B62:F62"/>
    <mergeCell ref="B49:F49"/>
    <mergeCell ref="B51:B55"/>
    <mergeCell ref="B40:B43"/>
    <mergeCell ref="B102:F102"/>
    <mergeCell ref="B104:B107"/>
    <mergeCell ref="B114:F114"/>
    <mergeCell ref="B83:B84"/>
    <mergeCell ref="B90:F90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2022-04-26T15:31:50Z</dcterms:modified>
  <dc:language>en-ZA</dc:language>
</cp:coreProperties>
</file>