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3\"/>
    </mc:Choice>
  </mc:AlternateContent>
  <xr:revisionPtr revIDLastSave="0" documentId="13_ncr:1_{BABE2F27-5E2E-49DC-98DB-CD89646F4D57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2" i="1" l="1"/>
  <c r="F92" i="1"/>
  <c r="F84" i="1"/>
  <c r="F73" i="1"/>
  <c r="F65" i="1"/>
  <c r="F57" i="1"/>
  <c r="F45" i="1"/>
  <c r="F37" i="1"/>
  <c r="F29" i="1"/>
  <c r="F21" i="1"/>
</calcChain>
</file>

<file path=xl/sharedStrings.xml><?xml version="1.0" encoding="utf-8"?>
<sst xmlns="http://schemas.openxmlformats.org/spreadsheetml/2006/main" count="183" uniqueCount="92">
  <si>
    <t>2024EBN111A03</t>
  </si>
  <si>
    <t>Student number:</t>
  </si>
  <si>
    <t>06/03/2024 8:00 AM - 18/03/2024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</si>
  <si>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</si>
  <si>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</si>
  <si>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</si>
  <si>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</si>
  <si>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</si>
  <si>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</si>
  <si>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</si>
  <si>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</si>
  <si>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</si>
  <si>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</si>
  <si>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</si>
  <si>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</si>
  <si>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</si>
  <si>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</si>
  <si>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</si>
  <si>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</si>
  <si>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</si>
  <si>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</si>
  <si>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</si>
  <si>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</si>
  <si>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</si>
  <si>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</t>
  </si>
  <si>
    <t>&amp;Omega;</t>
  </si>
  <si>
    <t>nA</t>
  </si>
  <si>
    <t>01</t>
  </si>
  <si>
    <t>i3</t>
  </si>
  <si>
    <t>ohm</t>
  </si>
  <si>
    <t>&amp;mu;A</t>
  </si>
  <si>
    <t>Total</t>
  </si>
  <si>
    <t>s</t>
  </si>
  <si>
    <t>C</t>
  </si>
  <si>
    <t>A</t>
  </si>
  <si>
    <t>J</t>
  </si>
  <si>
    <t>kohm</t>
  </si>
  <si>
    <t>W</t>
  </si>
  <si>
    <t>Mohm</t>
  </si>
  <si>
    <t>Question 2</t>
  </si>
  <si>
    <t>V</t>
  </si>
  <si>
    <t>Gohm</t>
  </si>
  <si>
    <t>m</t>
  </si>
  <si>
    <t>H</t>
  </si>
  <si>
    <t>02</t>
  </si>
  <si>
    <t>V3</t>
  </si>
  <si>
    <t>F</t>
  </si>
  <si>
    <t>rad</t>
  </si>
  <si>
    <t>deg</t>
  </si>
  <si>
    <t>Hz</t>
  </si>
  <si>
    <t>Question 3</t>
  </si>
  <si>
    <t>I1</t>
  </si>
  <si>
    <t>03</t>
  </si>
  <si>
    <t>alpha</t>
  </si>
  <si>
    <t>Question 4</t>
  </si>
  <si>
    <t>04</t>
  </si>
  <si>
    <t>Question 5 to 8</t>
  </si>
  <si>
    <t>B</t>
  </si>
  <si>
    <t>05</t>
  </si>
  <si>
    <t>a</t>
  </si>
  <si>
    <t>06</t>
  </si>
  <si>
    <t>b</t>
  </si>
  <si>
    <t>07</t>
  </si>
  <si>
    <t>c</t>
  </si>
  <si>
    <t>08</t>
  </si>
  <si>
    <t>d</t>
  </si>
  <si>
    <t>Question 9</t>
  </si>
  <si>
    <t>Va</t>
  </si>
  <si>
    <t>09</t>
  </si>
  <si>
    <t>Vy</t>
  </si>
  <si>
    <t>Question 10</t>
  </si>
  <si>
    <t>Vb</t>
  </si>
  <si>
    <t>10</t>
  </si>
  <si>
    <t>Ix</t>
  </si>
  <si>
    <t>Question 11</t>
  </si>
  <si>
    <t>Vs</t>
  </si>
  <si>
    <t>11</t>
  </si>
  <si>
    <t>Question 12</t>
  </si>
  <si>
    <t>12</t>
  </si>
  <si>
    <t>i1</t>
  </si>
  <si>
    <t>Question 13</t>
  </si>
  <si>
    <t>13</t>
  </si>
  <si>
    <t>i0</t>
  </si>
  <si>
    <t>-10</t>
  </si>
  <si>
    <t>0.8769231</t>
  </si>
  <si>
    <t>1.5</t>
  </si>
  <si>
    <t>-0.5</t>
  </si>
  <si>
    <t>-1</t>
  </si>
  <si>
    <t>0.06</t>
  </si>
  <si>
    <t>0.643055556</t>
  </si>
  <si>
    <t>0.466667</t>
  </si>
  <si>
    <t>0.695652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</si>
</sst>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4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1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3" xfId="0" applyNumberFormat="1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/>
    </xf>
    <xf numFmtId="0" fontId="17" fillId="0" borderId="22" xfId="0" applyFont="1" applyBorder="1" applyAlignment="1">
      <alignment horizontal="center"/>
    </xf>
    <xf numFmtId="49" fontId="19" fillId="0" borderId="18" xfId="0" quotePrefix="1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1" fontId="4" fillId="0" borderId="17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15" xfId="0" applyFont="1" applyBorder="1" applyAlignment="1">
      <alignment horizontal="center"/>
    </xf>
    <xf numFmtId="0" fontId="9" fillId="7" borderId="12" xfId="0" applyFont="1" applyFill="1" applyBorder="1"/>
    <xf numFmtId="0" fontId="9" fillId="0" borderId="16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3" borderId="19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5" xfId="0" quotePrefix="1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wrapText="1"/>
    </xf>
    <xf numFmtId="0" fontId="9" fillId="6" borderId="16" xfId="0" applyFont="1" applyFill="1" applyBorder="1" applyAlignment="1">
      <alignment horizontal="center"/>
    </xf>
    <xf numFmtId="164" fontId="9" fillId="4" borderId="27" xfId="0" applyNumberFormat="1" applyFont="1" applyFill="1" applyBorder="1" applyAlignment="1">
      <alignment horizontal="center" wrapText="1"/>
    </xf>
    <xf numFmtId="0" fontId="15" fillId="6" borderId="28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wrapText="1"/>
    </xf>
    <xf numFmtId="0" fontId="9" fillId="6" borderId="29" xfId="0" applyFont="1" applyFill="1" applyBorder="1" applyAlignment="1">
      <alignment horizontal="center"/>
    </xf>
    <xf numFmtId="0" fontId="22" fillId="0" borderId="30" xfId="0" applyFont="1" applyBorder="1" applyAlignment="1">
      <alignment horizontal="center" wrapText="1"/>
    </xf>
    <xf numFmtId="0" fontId="23" fillId="0" borderId="30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3" fillId="0" borderId="31" xfId="0" applyFont="1" applyBorder="1" applyAlignment="1">
      <alignment horizontal="center" wrapText="1"/>
    </xf>
    <xf numFmtId="0" fontId="23" fillId="0" borderId="32" xfId="0" applyFont="1" applyBorder="1" applyAlignment="1">
      <alignment horizontal="center" wrapText="1"/>
    </xf>
    <xf numFmtId="0" fontId="22" fillId="0" borderId="31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wrapText="1"/>
    </xf>
    <xf numFmtId="0" fontId="22" fillId="0" borderId="32" xfId="0" applyFont="1" applyBorder="1" applyAlignment="1">
      <alignment horizontal="center" wrapText="1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28" xfId="0" applyNumberFormat="1" applyFont="1" applyFill="1" applyBorder="1" applyAlignment="1">
      <alignment horizontal="center" wrapText="1"/>
    </xf>
    <xf numFmtId="6" fontId="9" fillId="6" borderId="15" xfId="0" applyNumberFormat="1" applyFont="1" applyFill="1" applyBorder="1" applyAlignment="1">
      <alignment horizontal="center" wrapText="1"/>
    </xf>
    <xf numFmtId="0" fontId="15" fillId="3" borderId="19" xfId="0" quotePrefix="1" applyFont="1" applyFill="1" applyBorder="1" applyAlignment="1" applyProtection="1">
      <alignment horizontal="center" vertical="center" wrapText="1"/>
      <protection locked="0"/>
    </xf>
    <xf numFmtId="0" fontId="15" fillId="3" borderId="1" xfId="0" quotePrefix="1" applyFont="1" applyFill="1" applyBorder="1" applyAlignment="1" applyProtection="1">
      <alignment horizontal="center" vertical="center" wrapText="1"/>
      <protection locked="0"/>
    </xf>
    <xf numFmtId="0" fontId="15" fillId="3" borderId="15" xfId="0" quotePrefix="1" applyFont="1" applyFill="1" applyBorder="1" applyAlignment="1" applyProtection="1">
      <alignment horizontal="center" vertical="center" wrapText="1"/>
      <protection locked="0"/>
    </xf>
    <xf numFmtId="165" fontId="3" fillId="0" borderId="1" xfId="0" applyNumberFormat="1" applyFont="1" applyBorder="1" applyAlignment="1">
      <alignment horizontal="left"/>
    </xf>
    <xf numFmtId="0" fontId="0" fillId="0" borderId="38" xfId="0" applyBorder="1"/>
    <xf numFmtId="0" fontId="2" fillId="0" borderId="34" xfId="0" applyFont="1" applyBorder="1" applyAlignment="1">
      <alignment horizontal="center" vertical="center"/>
    </xf>
    <xf numFmtId="0" fontId="0" fillId="0" borderId="24" xfId="0" applyBorder="1"/>
    <xf numFmtId="0" fontId="0" fillId="0" borderId="35" xfId="0" applyBorder="1"/>
    <xf numFmtId="0" fontId="3" fillId="0" borderId="1" xfId="0" applyFont="1" applyBorder="1" applyAlignment="1">
      <alignment horizontal="center" wrapText="1"/>
    </xf>
    <xf numFmtId="0" fontId="0" fillId="0" borderId="39" xfId="0" applyBorder="1"/>
    <xf numFmtId="0" fontId="18" fillId="0" borderId="1" xfId="0" applyFont="1" applyBorder="1" applyAlignment="1">
      <alignment horizontal="left" vertical="top"/>
    </xf>
    <xf numFmtId="0" fontId="3" fillId="6" borderId="40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7" xfId="0" applyBorder="1"/>
    <xf numFmtId="0" fontId="11" fillId="0" borderId="9" xfId="0" applyFont="1" applyBorder="1" applyAlignment="1">
      <alignment horizontal="center"/>
    </xf>
    <xf numFmtId="0" fontId="0" fillId="0" borderId="36" xfId="0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8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6" borderId="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0" fillId="0" borderId="37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4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69921875" style="4" customWidth="1"/>
    <col min="11" max="23" width="4.69921875" customWidth="1"/>
  </cols>
  <sheetData>
    <row r="1" spans="2:13" ht="17.399999999999999" customHeight="1" x14ac:dyDescent="0.3">
      <c r="B1" s="116" t="s">
        <v>0</v>
      </c>
      <c r="C1" s="103"/>
      <c r="D1" s="1" t="s">
        <v>1</v>
      </c>
      <c r="E1" s="115"/>
      <c r="F1" s="103"/>
      <c r="G1" s="2"/>
      <c r="H1" s="3"/>
      <c r="K1" s="5"/>
      <c r="L1" s="5"/>
      <c r="M1" s="5"/>
    </row>
    <row r="2" spans="2:13" x14ac:dyDescent="0.3">
      <c r="B2" s="102" t="s">
        <v>2</v>
      </c>
      <c r="C2" s="103"/>
      <c r="D2" s="1" t="s">
        <v>3</v>
      </c>
      <c r="E2" s="117"/>
      <c r="F2" s="118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07" t="s">
        <v>4</v>
      </c>
      <c r="C4" s="108"/>
      <c r="D4" s="108"/>
      <c r="E4" s="108"/>
      <c r="F4" s="103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109" t="s">
        <v>5</v>
      </c>
      <c r="D6" s="103"/>
      <c r="E6" s="12"/>
      <c r="F6" s="5"/>
      <c r="G6" s="5"/>
      <c r="H6" s="3"/>
      <c r="K6" s="5"/>
      <c r="L6" s="5"/>
      <c r="M6" s="5"/>
    </row>
    <row r="7" spans="2:13" x14ac:dyDescent="0.3">
      <c r="B7" s="14"/>
      <c r="C7" s="109" t="s">
        <v>6</v>
      </c>
      <c r="D7" s="103"/>
      <c r="E7" s="12"/>
      <c r="F7" s="5"/>
      <c r="G7" s="5"/>
      <c r="H7" s="3"/>
      <c r="L7" s="5"/>
      <c r="M7" s="5"/>
    </row>
    <row r="8" spans="2:13" x14ac:dyDescent="0.3">
      <c r="B8" s="15"/>
      <c r="C8" s="109" t="s">
        <v>7</v>
      </c>
      <c r="D8" s="103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9" t="s">
        <v>8</v>
      </c>
      <c r="C10" s="120"/>
      <c r="D10" s="120"/>
      <c r="E10" s="120"/>
      <c r="F10" s="120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13" t="s">
        <v>15</v>
      </c>
      <c r="E14" s="114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22" t="s">
        <v>16</v>
      </c>
      <c r="E15" s="123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4" t="s">
        <v>17</v>
      </c>
      <c r="C17" s="105"/>
      <c r="D17" s="105"/>
      <c r="E17" s="105"/>
      <c r="F17" s="106"/>
    </row>
    <row r="18" spans="2:10" ht="28.8" customHeight="1" thickBot="1" x14ac:dyDescent="0.35">
      <c r="B18" s="32"/>
      <c r="C18" s="33" t="s">
        <v>18</v>
      </c>
      <c r="D18" s="33" t="s">
        <v>19</v>
      </c>
      <c r="E18" s="33" t="s">
        <v>20</v>
      </c>
      <c r="F18" s="34" t="s">
        <v>21</v>
      </c>
      <c r="I18" s="35" t="s">
        <v>22</v>
      </c>
      <c r="J18" s="64" t="s">
        <v>23</v>
      </c>
    </row>
    <row r="19" spans="2:10" ht="16.2" customHeight="1" thickBot="1" x14ac:dyDescent="0.35">
      <c r="B19" s="36"/>
      <c r="C19" s="96" t="s">
        <v>24</v>
      </c>
      <c r="D19" s="37">
        <v>1</v>
      </c>
      <c r="E19" s="59"/>
      <c r="F19" s="39"/>
      <c r="I19" s="88" t="s">
        <v>25</v>
      </c>
      <c r="J19" s="89" t="s">
        <v>26</v>
      </c>
    </row>
    <row r="20" spans="2:10" ht="16.2" customHeight="1" thickBot="1" x14ac:dyDescent="0.35">
      <c r="B20" s="47" t="s">
        <v>27</v>
      </c>
      <c r="C20" s="48" t="s">
        <v>28</v>
      </c>
      <c r="D20" s="99" t="s">
        <v>83</v>
      </c>
      <c r="E20" s="59"/>
      <c r="F20" s="49">
        <v>2</v>
      </c>
      <c r="I20" s="90" t="s">
        <v>29</v>
      </c>
      <c r="J20" s="91" t="s">
        <v>30</v>
      </c>
    </row>
    <row r="21" spans="2:10" ht="16.2" customHeight="1" thickBot="1" x14ac:dyDescent="0.35">
      <c r="E21" s="50" t="s">
        <v>31</v>
      </c>
      <c r="F21" s="51">
        <f>SUM(F20)</f>
        <v>2</v>
      </c>
      <c r="I21" s="90" t="s">
        <v>32</v>
      </c>
      <c r="J21" s="91" t="s">
        <v>14</v>
      </c>
    </row>
    <row r="22" spans="2:10" x14ac:dyDescent="0.3">
      <c r="I22" s="90" t="s">
        <v>33</v>
      </c>
      <c r="J22" s="91" t="s">
        <v>34</v>
      </c>
    </row>
    <row r="23" spans="2:10" x14ac:dyDescent="0.3">
      <c r="B23" s="52"/>
      <c r="C23" s="53"/>
      <c r="D23" s="53"/>
      <c r="E23" s="53"/>
      <c r="F23" s="54"/>
      <c r="I23" s="90" t="s">
        <v>35</v>
      </c>
      <c r="J23" s="91" t="s">
        <v>36</v>
      </c>
    </row>
    <row r="24" spans="2:10" ht="16.2" customHeight="1" thickBot="1" x14ac:dyDescent="0.35">
      <c r="I24" s="90" t="s">
        <v>37</v>
      </c>
      <c r="J24" s="91" t="s">
        <v>38</v>
      </c>
    </row>
    <row r="25" spans="2:10" ht="18" customHeight="1" thickBot="1" x14ac:dyDescent="0.35">
      <c r="B25" s="104" t="s">
        <v>39</v>
      </c>
      <c r="C25" s="105"/>
      <c r="D25" s="105"/>
      <c r="E25" s="105"/>
      <c r="F25" s="106"/>
      <c r="I25" s="90" t="s">
        <v>40</v>
      </c>
      <c r="J25" s="92" t="s">
        <v>41</v>
      </c>
    </row>
    <row r="26" spans="2:10" ht="28.2" customHeight="1" thickBot="1" x14ac:dyDescent="0.35">
      <c r="B26" s="32"/>
      <c r="C26" s="33" t="s">
        <v>18</v>
      </c>
      <c r="D26" s="33" t="s">
        <v>19</v>
      </c>
      <c r="E26" s="33" t="s">
        <v>20</v>
      </c>
      <c r="F26" s="34" t="s">
        <v>21</v>
      </c>
      <c r="I26" s="93" t="s">
        <v>34</v>
      </c>
      <c r="J26" s="94"/>
    </row>
    <row r="27" spans="2:10" ht="16.2" customHeight="1" thickBot="1" x14ac:dyDescent="0.35">
      <c r="B27" s="36"/>
      <c r="C27" s="96" t="s">
        <v>42</v>
      </c>
      <c r="D27" s="37">
        <v>28</v>
      </c>
      <c r="E27" s="59"/>
      <c r="F27" s="39"/>
      <c r="I27" s="90" t="s">
        <v>43</v>
      </c>
    </row>
    <row r="28" spans="2:10" ht="16.2" customHeight="1" thickBot="1" x14ac:dyDescent="0.35">
      <c r="B28" s="47" t="s">
        <v>44</v>
      </c>
      <c r="C28" s="48" t="s">
        <v>45</v>
      </c>
      <c r="D28" s="69">
        <v>7</v>
      </c>
      <c r="E28" s="59"/>
      <c r="F28" s="49">
        <v>2</v>
      </c>
      <c r="I28" s="90" t="s">
        <v>46</v>
      </c>
    </row>
    <row r="29" spans="2:10" ht="16.2" customHeight="1" thickBot="1" x14ac:dyDescent="0.35">
      <c r="E29" s="50" t="s">
        <v>31</v>
      </c>
      <c r="F29" s="51">
        <f>SUM(F28)</f>
        <v>2</v>
      </c>
      <c r="I29" s="90" t="s">
        <v>47</v>
      </c>
    </row>
    <row r="30" spans="2:10" x14ac:dyDescent="0.3">
      <c r="I30" s="90" t="s">
        <v>48</v>
      </c>
    </row>
    <row r="31" spans="2:10" ht="16.2" customHeight="1" thickBot="1" x14ac:dyDescent="0.35">
      <c r="B31" s="52"/>
      <c r="C31" s="53"/>
      <c r="D31" s="53"/>
      <c r="E31" s="53"/>
      <c r="F31" s="54"/>
      <c r="I31" s="95" t="s">
        <v>49</v>
      </c>
    </row>
    <row r="32" spans="2:10" ht="16.2" customHeight="1" thickBot="1" x14ac:dyDescent="0.35"/>
    <row r="33" spans="2:6" ht="18" customHeight="1" thickBot="1" x14ac:dyDescent="0.35">
      <c r="B33" s="104" t="s">
        <v>50</v>
      </c>
      <c r="C33" s="105"/>
      <c r="D33" s="105"/>
      <c r="E33" s="105"/>
      <c r="F33" s="106"/>
    </row>
    <row r="34" spans="2:6" ht="28.2" customHeight="1" thickBot="1" x14ac:dyDescent="0.35">
      <c r="B34" s="32"/>
      <c r="C34" s="33" t="s">
        <v>18</v>
      </c>
      <c r="D34" s="33" t="s">
        <v>19</v>
      </c>
      <c r="E34" s="33" t="s">
        <v>20</v>
      </c>
      <c r="F34" s="34" t="s">
        <v>21</v>
      </c>
    </row>
    <row r="35" spans="2:6" ht="16.2" customHeight="1" thickBot="1" x14ac:dyDescent="0.35">
      <c r="B35" s="36"/>
      <c r="C35" s="96" t="s">
        <v>51</v>
      </c>
      <c r="D35" s="37">
        <v>10</v>
      </c>
      <c r="E35" s="59"/>
      <c r="F35" s="39"/>
    </row>
    <row r="36" spans="2:6" ht="16.2" customHeight="1" thickBot="1" x14ac:dyDescent="0.35">
      <c r="B36" s="47" t="s">
        <v>52</v>
      </c>
      <c r="C36" s="48" t="s">
        <v>53</v>
      </c>
      <c r="D36" s="69">
        <v>79980</v>
      </c>
      <c r="E36" s="59"/>
      <c r="F36" s="49">
        <v>1</v>
      </c>
    </row>
    <row r="37" spans="2:6" ht="16.2" customHeight="1" thickBot="1" x14ac:dyDescent="0.35">
      <c r="E37" s="50" t="s">
        <v>31</v>
      </c>
      <c r="F37" s="51">
        <f>SUM(F36)</f>
        <v>1</v>
      </c>
    </row>
    <row r="39" spans="2:6" x14ac:dyDescent="0.3">
      <c r="B39" s="52"/>
      <c r="C39" s="53"/>
      <c r="D39" s="53"/>
      <c r="E39" s="53"/>
      <c r="F39" s="54"/>
    </row>
    <row r="40" spans="2:6" ht="16.2" customHeight="1" thickBot="1" x14ac:dyDescent="0.35"/>
    <row r="41" spans="2:6" ht="18" customHeight="1" thickBot="1" x14ac:dyDescent="0.35">
      <c r="B41" s="104" t="s">
        <v>54</v>
      </c>
      <c r="C41" s="105"/>
      <c r="D41" s="105"/>
      <c r="E41" s="105"/>
      <c r="F41" s="106"/>
    </row>
    <row r="42" spans="2:6" ht="28.2" customHeight="1" thickBot="1" x14ac:dyDescent="0.35">
      <c r="B42" s="32"/>
      <c r="C42" s="33" t="s">
        <v>18</v>
      </c>
      <c r="D42" s="33" t="s">
        <v>19</v>
      </c>
      <c r="E42" s="33" t="s">
        <v>20</v>
      </c>
      <c r="F42" s="34" t="s">
        <v>21</v>
      </c>
    </row>
    <row r="43" spans="2:6" ht="16.2" customHeight="1" thickBot="1" x14ac:dyDescent="0.35">
      <c r="B43" s="36"/>
      <c r="C43" s="96" t="s">
        <v>42</v>
      </c>
      <c r="D43" s="37">
        <v>12</v>
      </c>
      <c r="E43" s="59"/>
      <c r="F43" s="39"/>
    </row>
    <row r="44" spans="2:6" ht="16.2" customHeight="1" thickBot="1" x14ac:dyDescent="0.35">
      <c r="B44" s="47" t="s">
        <v>55</v>
      </c>
      <c r="C44" s="48" t="s">
        <v>24</v>
      </c>
      <c r="D44" s="69">
        <v>11</v>
      </c>
      <c r="E44" s="59"/>
      <c r="F44" s="49">
        <v>1</v>
      </c>
    </row>
    <row r="45" spans="2:6" ht="16.2" customHeight="1" thickBot="1" x14ac:dyDescent="0.35">
      <c r="E45" s="50" t="s">
        <v>31</v>
      </c>
      <c r="F45" s="51">
        <f>SUM(F44)</f>
        <v>1</v>
      </c>
    </row>
    <row r="47" spans="2:6" x14ac:dyDescent="0.3">
      <c r="B47" s="52"/>
      <c r="C47" s="53"/>
      <c r="D47" s="53"/>
      <c r="E47" s="53"/>
      <c r="F47" s="54"/>
    </row>
    <row r="48" spans="2:6" ht="16.2" customHeight="1" thickBot="1" x14ac:dyDescent="0.35"/>
    <row r="49" spans="2:6" ht="18" customHeight="1" thickBot="1" x14ac:dyDescent="0.35">
      <c r="B49" s="104" t="s">
        <v>56</v>
      </c>
      <c r="C49" s="105"/>
      <c r="D49" s="105"/>
      <c r="E49" s="105"/>
      <c r="F49" s="106"/>
    </row>
    <row r="50" spans="2:6" ht="28.2" customHeight="1" thickBot="1" x14ac:dyDescent="0.35">
      <c r="B50" s="32"/>
      <c r="C50" s="33" t="s">
        <v>18</v>
      </c>
      <c r="D50" s="33" t="s">
        <v>19</v>
      </c>
      <c r="E50" s="33" t="s">
        <v>20</v>
      </c>
      <c r="F50" s="34" t="s">
        <v>21</v>
      </c>
    </row>
    <row r="51" spans="2:6" ht="16.2" customHeight="1" thickBot="1" x14ac:dyDescent="0.35">
      <c r="B51" s="36"/>
      <c r="C51" s="96" t="s">
        <v>34</v>
      </c>
      <c r="D51" s="37">
        <v>9</v>
      </c>
      <c r="E51" s="59"/>
      <c r="F51" s="39"/>
    </row>
    <row r="52" spans="2:6" ht="16.2" customHeight="1" thickBot="1" x14ac:dyDescent="0.35">
      <c r="B52" s="41"/>
      <c r="C52" s="42" t="s">
        <v>57</v>
      </c>
      <c r="D52" s="43">
        <v>13</v>
      </c>
      <c r="E52" s="44" t="s">
        <v>29</v>
      </c>
      <c r="F52" s="45"/>
    </row>
    <row r="53" spans="2:6" x14ac:dyDescent="0.3">
      <c r="B53" s="62" t="s">
        <v>58</v>
      </c>
      <c r="C53" s="72" t="s">
        <v>59</v>
      </c>
      <c r="D53" s="73" t="s">
        <v>84</v>
      </c>
      <c r="E53" s="15"/>
      <c r="F53" s="74">
        <v>1</v>
      </c>
    </row>
    <row r="54" spans="2:6" x14ac:dyDescent="0.3">
      <c r="B54" s="75" t="s">
        <v>60</v>
      </c>
      <c r="C54" s="70" t="s">
        <v>61</v>
      </c>
      <c r="D54" s="71" t="s">
        <v>85</v>
      </c>
      <c r="E54" s="15"/>
      <c r="F54" s="76">
        <v>1</v>
      </c>
    </row>
    <row r="55" spans="2:6" x14ac:dyDescent="0.3">
      <c r="B55" s="75" t="s">
        <v>62</v>
      </c>
      <c r="C55" s="70" t="s">
        <v>63</v>
      </c>
      <c r="D55" s="100" t="s">
        <v>86</v>
      </c>
      <c r="E55" s="15"/>
      <c r="F55" s="76">
        <v>1</v>
      </c>
    </row>
    <row r="56" spans="2:6" ht="16.2" customHeight="1" thickBot="1" x14ac:dyDescent="0.35">
      <c r="B56" s="63" t="s">
        <v>64</v>
      </c>
      <c r="C56" s="58" t="s">
        <v>65</v>
      </c>
      <c r="D56" s="101" t="s">
        <v>87</v>
      </c>
      <c r="E56" s="15"/>
      <c r="F56" s="60">
        <v>1</v>
      </c>
    </row>
    <row r="57" spans="2:6" ht="16.2" customHeight="1" thickBot="1" x14ac:dyDescent="0.35">
      <c r="E57" s="50" t="s">
        <v>31</v>
      </c>
      <c r="F57" s="51">
        <f>SUM(F53:F56)</f>
        <v>4</v>
      </c>
    </row>
    <row r="59" spans="2:6" x14ac:dyDescent="0.3">
      <c r="B59" s="52"/>
      <c r="C59" s="53"/>
      <c r="D59" s="53"/>
      <c r="E59" s="53"/>
      <c r="F59" s="54"/>
    </row>
    <row r="60" spans="2:6" ht="16.2" customHeight="1" thickBot="1" x14ac:dyDescent="0.35"/>
    <row r="61" spans="2:6" ht="18" customHeight="1" thickBot="1" x14ac:dyDescent="0.35">
      <c r="B61" s="104" t="s">
        <v>66</v>
      </c>
      <c r="C61" s="105"/>
      <c r="D61" s="105"/>
      <c r="E61" s="105"/>
      <c r="F61" s="106"/>
    </row>
    <row r="62" spans="2:6" ht="28.2" customHeight="1" thickBot="1" x14ac:dyDescent="0.35">
      <c r="B62" s="32"/>
      <c r="C62" s="33" t="s">
        <v>18</v>
      </c>
      <c r="D62" s="33" t="s">
        <v>19</v>
      </c>
      <c r="E62" s="33" t="s">
        <v>20</v>
      </c>
      <c r="F62" s="34" t="s">
        <v>21</v>
      </c>
    </row>
    <row r="63" spans="2:6" ht="16.2" customHeight="1" thickBot="1" x14ac:dyDescent="0.35">
      <c r="B63" s="36"/>
      <c r="C63" s="96" t="s">
        <v>67</v>
      </c>
      <c r="D63" s="37">
        <v>2</v>
      </c>
      <c r="E63" s="38" t="s">
        <v>40</v>
      </c>
      <c r="F63" s="39"/>
    </row>
    <row r="64" spans="2:6" ht="16.2" customHeight="1" thickBot="1" x14ac:dyDescent="0.35">
      <c r="B64" s="47" t="s">
        <v>68</v>
      </c>
      <c r="C64" s="48" t="s">
        <v>69</v>
      </c>
      <c r="D64" s="69">
        <v>5</v>
      </c>
      <c r="E64" s="69" t="s">
        <v>40</v>
      </c>
      <c r="F64" s="49">
        <v>2</v>
      </c>
    </row>
    <row r="65" spans="2:13" ht="16.2" customHeight="1" thickBot="1" x14ac:dyDescent="0.35">
      <c r="E65" s="50" t="s">
        <v>31</v>
      </c>
      <c r="F65" s="51">
        <f>SUM(F64)</f>
        <v>2</v>
      </c>
    </row>
    <row r="67" spans="2:13" x14ac:dyDescent="0.3">
      <c r="B67" s="52"/>
      <c r="C67" s="53"/>
      <c r="D67" s="53"/>
      <c r="E67" s="53"/>
      <c r="F67" s="54"/>
    </row>
    <row r="68" spans="2:13" ht="16.2" customHeight="1" thickBot="1" x14ac:dyDescent="0.35">
      <c r="I68" s="68"/>
    </row>
    <row r="69" spans="2:13" ht="18" customHeight="1" thickBot="1" x14ac:dyDescent="0.35">
      <c r="B69" s="104" t="s">
        <v>70</v>
      </c>
      <c r="C69" s="105"/>
      <c r="D69" s="105"/>
      <c r="E69" s="105"/>
      <c r="F69" s="106"/>
    </row>
    <row r="70" spans="2:13" ht="28.2" customHeight="1" thickBot="1" x14ac:dyDescent="0.35">
      <c r="B70" s="32"/>
      <c r="C70" s="33" t="s">
        <v>18</v>
      </c>
      <c r="D70" s="33" t="s">
        <v>19</v>
      </c>
      <c r="E70" s="33" t="s">
        <v>20</v>
      </c>
      <c r="F70" s="34" t="s">
        <v>21</v>
      </c>
    </row>
    <row r="71" spans="2:13" ht="16.2" customHeight="1" thickBot="1" x14ac:dyDescent="0.35">
      <c r="B71" s="36"/>
      <c r="C71" s="96" t="s">
        <v>71</v>
      </c>
      <c r="D71" s="37">
        <v>1</v>
      </c>
      <c r="E71" s="38" t="s">
        <v>40</v>
      </c>
      <c r="F71" s="39"/>
    </row>
    <row r="72" spans="2:13" ht="16.2" customHeight="1" thickBot="1" x14ac:dyDescent="0.35">
      <c r="B72" s="47" t="s">
        <v>72</v>
      </c>
      <c r="C72" s="48" t="s">
        <v>73</v>
      </c>
      <c r="D72" s="69" t="s">
        <v>88</v>
      </c>
      <c r="E72" s="69" t="s">
        <v>34</v>
      </c>
      <c r="F72" s="49">
        <v>2</v>
      </c>
      <c r="I72" s="68"/>
      <c r="L72" s="24"/>
      <c r="M72" s="24"/>
    </row>
    <row r="73" spans="2:13" ht="16.2" customHeight="1" thickBot="1" x14ac:dyDescent="0.35">
      <c r="E73" s="50" t="s">
        <v>31</v>
      </c>
      <c r="F73" s="51">
        <f>SUM(F72)</f>
        <v>2</v>
      </c>
      <c r="I73" s="68"/>
      <c r="L73" s="24"/>
      <c r="M73" s="24"/>
    </row>
    <row r="74" spans="2:13" x14ac:dyDescent="0.3">
      <c r="I74" s="68"/>
      <c r="L74" s="24"/>
    </row>
    <row r="75" spans="2:13" x14ac:dyDescent="0.3">
      <c r="B75" s="52"/>
      <c r="C75" s="53"/>
      <c r="D75" s="53"/>
      <c r="E75" s="53"/>
      <c r="F75" s="54"/>
      <c r="M75" s="24"/>
    </row>
    <row r="76" spans="2:13" ht="16.2" customHeight="1" thickBot="1" x14ac:dyDescent="0.35">
      <c r="M76" s="24"/>
    </row>
    <row r="77" spans="2:13" ht="18" customHeight="1" thickBot="1" x14ac:dyDescent="0.35">
      <c r="B77" s="104" t="s">
        <v>74</v>
      </c>
      <c r="C77" s="105"/>
      <c r="D77" s="105"/>
      <c r="E77" s="105"/>
      <c r="F77" s="106"/>
      <c r="M77" s="24"/>
    </row>
    <row r="78" spans="2:13" ht="28.2" customHeight="1" thickBot="1" x14ac:dyDescent="0.35">
      <c r="B78" s="32"/>
      <c r="C78" s="33" t="s">
        <v>18</v>
      </c>
      <c r="D78" s="33" t="s">
        <v>19</v>
      </c>
      <c r="E78" s="33" t="s">
        <v>20</v>
      </c>
      <c r="F78" s="34" t="s">
        <v>21</v>
      </c>
      <c r="J78" s="27"/>
      <c r="K78" s="57"/>
      <c r="M78" s="24"/>
    </row>
    <row r="79" spans="2:13" x14ac:dyDescent="0.3">
      <c r="B79" s="121"/>
      <c r="C79" s="96">
        <v>1</v>
      </c>
      <c r="D79" s="37">
        <v>9</v>
      </c>
      <c r="E79" s="38" t="s">
        <v>29</v>
      </c>
      <c r="F79" s="39"/>
      <c r="J79" s="27"/>
      <c r="K79" s="24"/>
      <c r="M79" s="24"/>
    </row>
    <row r="80" spans="2:13" x14ac:dyDescent="0.3">
      <c r="B80" s="111"/>
      <c r="C80" s="77">
        <v>2</v>
      </c>
      <c r="D80" s="78">
        <v>49</v>
      </c>
      <c r="E80" s="79" t="s">
        <v>29</v>
      </c>
      <c r="F80" s="80"/>
      <c r="J80" s="27"/>
      <c r="K80" s="24"/>
      <c r="M80" s="24"/>
    </row>
    <row r="81" spans="2:13" x14ac:dyDescent="0.3">
      <c r="B81" s="111"/>
      <c r="C81" s="97">
        <v>3</v>
      </c>
      <c r="D81" s="85">
        <v>24</v>
      </c>
      <c r="E81" s="86" t="s">
        <v>29</v>
      </c>
      <c r="F81" s="87"/>
      <c r="J81" s="27"/>
      <c r="K81" s="24"/>
      <c r="M81" s="24"/>
    </row>
    <row r="82" spans="2:13" ht="16.2" customHeight="1" thickBot="1" x14ac:dyDescent="0.35">
      <c r="B82" s="111"/>
      <c r="C82" s="84" t="s">
        <v>75</v>
      </c>
      <c r="D82" s="78">
        <v>9</v>
      </c>
      <c r="E82" s="44" t="s">
        <v>40</v>
      </c>
      <c r="F82" s="80"/>
      <c r="J82" s="27"/>
      <c r="K82" s="24"/>
      <c r="M82" s="24"/>
    </row>
    <row r="83" spans="2:13" ht="16.2" customHeight="1" thickBot="1" x14ac:dyDescent="0.35">
      <c r="B83" s="47" t="s">
        <v>76</v>
      </c>
      <c r="C83" s="48" t="s">
        <v>73</v>
      </c>
      <c r="D83" s="69" t="s">
        <v>89</v>
      </c>
      <c r="E83" s="69" t="s">
        <v>34</v>
      </c>
      <c r="F83" s="49">
        <v>2</v>
      </c>
      <c r="J83" s="27"/>
      <c r="K83" s="24"/>
    </row>
    <row r="84" spans="2:13" ht="16.2" customHeight="1" thickBot="1" x14ac:dyDescent="0.35">
      <c r="E84" s="50" t="s">
        <v>31</v>
      </c>
      <c r="F84" s="51">
        <f>SUM(F83:F83)</f>
        <v>2</v>
      </c>
      <c r="J84" s="27"/>
      <c r="K84" s="24"/>
    </row>
    <row r="85" spans="2:13" x14ac:dyDescent="0.3">
      <c r="J85" s="27"/>
      <c r="K85" s="24"/>
    </row>
    <row r="86" spans="2:13" x14ac:dyDescent="0.3">
      <c r="B86" s="52"/>
      <c r="C86" s="53"/>
      <c r="D86" s="53"/>
      <c r="E86" s="53"/>
      <c r="F86" s="54"/>
      <c r="J86" s="27"/>
      <c r="K86" s="24"/>
    </row>
    <row r="87" spans="2:13" ht="16.2" customHeight="1" thickBot="1" x14ac:dyDescent="0.35">
      <c r="J87" s="27"/>
      <c r="K87" s="24"/>
    </row>
    <row r="88" spans="2:13" ht="18" customHeight="1" thickBot="1" x14ac:dyDescent="0.35">
      <c r="B88" s="104" t="s">
        <v>77</v>
      </c>
      <c r="C88" s="105"/>
      <c r="D88" s="105"/>
      <c r="E88" s="105"/>
      <c r="F88" s="106"/>
      <c r="J88" s="27"/>
      <c r="K88" s="24"/>
    </row>
    <row r="89" spans="2:13" ht="28.2" customHeight="1" thickBot="1" x14ac:dyDescent="0.35">
      <c r="B89" s="32"/>
      <c r="C89" s="33" t="s">
        <v>18</v>
      </c>
      <c r="D89" s="33" t="s">
        <v>19</v>
      </c>
      <c r="E89" s="33" t="s">
        <v>20</v>
      </c>
      <c r="F89" s="34" t="s">
        <v>21</v>
      </c>
      <c r="J89" s="27"/>
      <c r="K89" s="24"/>
    </row>
    <row r="90" spans="2:13" ht="16.2" customHeight="1" thickBot="1" x14ac:dyDescent="0.35">
      <c r="B90" s="36"/>
      <c r="C90" s="96" t="s">
        <v>75</v>
      </c>
      <c r="D90" s="37">
        <v>7</v>
      </c>
      <c r="E90" s="38" t="s">
        <v>40</v>
      </c>
      <c r="F90" s="39"/>
      <c r="J90" s="27"/>
      <c r="K90" s="61"/>
    </row>
    <row r="91" spans="2:13" ht="16.2" customHeight="1" thickBot="1" x14ac:dyDescent="0.35">
      <c r="B91" s="47" t="s">
        <v>78</v>
      </c>
      <c r="C91" s="48" t="s">
        <v>79</v>
      </c>
      <c r="D91" s="69" t="s">
        <v>90</v>
      </c>
      <c r="E91" s="69" t="s">
        <v>34</v>
      </c>
      <c r="F91" s="49">
        <v>2</v>
      </c>
      <c r="J91" s="27"/>
      <c r="K91" s="61"/>
    </row>
    <row r="92" spans="2:13" ht="16.2" customHeight="1" thickBot="1" x14ac:dyDescent="0.35">
      <c r="E92" s="50" t="s">
        <v>31</v>
      </c>
      <c r="F92" s="51">
        <f>SUM(F91)</f>
        <v>2</v>
      </c>
      <c r="J92" s="27"/>
      <c r="K92" s="61"/>
    </row>
    <row r="93" spans="2:13" x14ac:dyDescent="0.3">
      <c r="J93" s="27"/>
      <c r="K93" s="61"/>
    </row>
    <row r="94" spans="2:13" x14ac:dyDescent="0.3">
      <c r="B94" s="52"/>
      <c r="C94" s="53"/>
      <c r="D94" s="53"/>
      <c r="E94" s="53"/>
      <c r="F94" s="54"/>
      <c r="J94" s="27"/>
      <c r="K94" s="61"/>
    </row>
    <row r="95" spans="2:13" ht="16.2" customHeight="1" thickBot="1" x14ac:dyDescent="0.35">
      <c r="J95" s="27"/>
      <c r="K95" s="61"/>
    </row>
    <row r="96" spans="2:13" ht="18" customHeight="1" thickBot="1" x14ac:dyDescent="0.35">
      <c r="B96" s="104" t="s">
        <v>80</v>
      </c>
      <c r="C96" s="105"/>
      <c r="D96" s="105"/>
      <c r="E96" s="105"/>
      <c r="F96" s="106"/>
      <c r="J96" s="27"/>
      <c r="K96" s="61"/>
    </row>
    <row r="97" spans="2:11" ht="28.2" customHeight="1" thickBot="1" x14ac:dyDescent="0.35">
      <c r="B97" s="32"/>
      <c r="C97" s="33" t="s">
        <v>18</v>
      </c>
      <c r="D97" s="33" t="s">
        <v>19</v>
      </c>
      <c r="E97" s="33" t="s">
        <v>20</v>
      </c>
      <c r="F97" s="34" t="s">
        <v>21</v>
      </c>
      <c r="J97" s="27"/>
      <c r="K97" s="61"/>
    </row>
    <row r="98" spans="2:11" x14ac:dyDescent="0.3">
      <c r="B98" s="110"/>
      <c r="C98" s="96">
        <v>1</v>
      </c>
      <c r="D98" s="37">
        <v>1</v>
      </c>
      <c r="E98" s="38" t="s">
        <v>29</v>
      </c>
      <c r="F98" s="39"/>
      <c r="J98" s="27"/>
      <c r="K98" s="24"/>
    </row>
    <row r="99" spans="2:11" x14ac:dyDescent="0.3">
      <c r="B99" s="111"/>
      <c r="C99" s="77">
        <v>2</v>
      </c>
      <c r="D99" s="78">
        <v>1</v>
      </c>
      <c r="E99" s="79" t="s">
        <v>29</v>
      </c>
      <c r="F99" s="80"/>
      <c r="J99" s="27"/>
      <c r="K99" s="24"/>
    </row>
    <row r="100" spans="2:11" ht="16.2" customHeight="1" thickBot="1" x14ac:dyDescent="0.35">
      <c r="B100" s="112"/>
      <c r="C100" s="98" t="s">
        <v>75</v>
      </c>
      <c r="D100" s="81">
        <v>1</v>
      </c>
      <c r="E100" s="82" t="s">
        <v>40</v>
      </c>
      <c r="F100" s="83"/>
      <c r="J100" s="27"/>
      <c r="K100" s="24"/>
    </row>
    <row r="101" spans="2:11" ht="16.2" customHeight="1" thickBot="1" x14ac:dyDescent="0.35">
      <c r="B101" s="47" t="s">
        <v>81</v>
      </c>
      <c r="C101" s="48" t="s">
        <v>82</v>
      </c>
      <c r="D101" s="69" t="s">
        <v>91</v>
      </c>
      <c r="E101" s="69" t="s">
        <v>34</v>
      </c>
      <c r="F101" s="49">
        <v>2</v>
      </c>
    </row>
    <row r="102" spans="2:11" ht="16.2" customHeight="1" thickBot="1" x14ac:dyDescent="0.35">
      <c r="E102" s="50" t="s">
        <v>31</v>
      </c>
      <c r="F102" s="51">
        <f>SUM(F101:F101)</f>
        <v>2</v>
      </c>
    </row>
    <row r="104" spans="2:11" x14ac:dyDescent="0.3">
      <c r="B104" s="52"/>
      <c r="C104" s="53"/>
      <c r="D104" s="53"/>
      <c r="E104" s="53"/>
      <c r="F104" s="54"/>
    </row>
  </sheetData>
  <mergeCells count="23">
    <mergeCell ref="B96:F96"/>
    <mergeCell ref="B98:B100"/>
    <mergeCell ref="D14:E14"/>
    <mergeCell ref="B41:F41"/>
    <mergeCell ref="E1:F1"/>
    <mergeCell ref="B61:F61"/>
    <mergeCell ref="B1:C1"/>
    <mergeCell ref="B17:F17"/>
    <mergeCell ref="B88:F88"/>
    <mergeCell ref="B69:F69"/>
    <mergeCell ref="E2:F2"/>
    <mergeCell ref="B10:F10"/>
    <mergeCell ref="C8:D8"/>
    <mergeCell ref="B49:F49"/>
    <mergeCell ref="C7:D7"/>
    <mergeCell ref="B79:B82"/>
    <mergeCell ref="B2:C2"/>
    <mergeCell ref="B77:F77"/>
    <mergeCell ref="B33:F33"/>
    <mergeCell ref="B4:F4"/>
    <mergeCell ref="C6:D6"/>
    <mergeCell ref="B25:F25"/>
    <mergeCell ref="D15:E15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0:I24"/>
  <sheetViews>
    <sheetView topLeftCell="A4" workbookViewId="0">
      <selection activeCell="H11" sqref="H11:I24"/>
    </sheetView>
  </sheetViews>
  <sheetFormatPr defaultRowHeight="15.6" x14ac:dyDescent="0.3"/>
  <sheetData>
    <row r="10" spans="8:9" ht="16.2" customHeight="1" thickBot="1" x14ac:dyDescent="0.35"/>
    <row r="11" spans="8:9" ht="56.4" customHeight="1" thickBot="1" x14ac:dyDescent="0.35">
      <c r="H11" s="35" t="s">
        <v>22</v>
      </c>
      <c r="I11" s="64" t="s">
        <v>23</v>
      </c>
    </row>
    <row r="12" spans="8:9" x14ac:dyDescent="0.3">
      <c r="H12" s="40" t="s">
        <v>25</v>
      </c>
      <c r="I12" s="65" t="s">
        <v>26</v>
      </c>
    </row>
    <row r="13" spans="8:9" x14ac:dyDescent="0.3">
      <c r="H13" s="46" t="s">
        <v>29</v>
      </c>
      <c r="I13" s="66" t="s">
        <v>30</v>
      </c>
    </row>
    <row r="14" spans="8:9" x14ac:dyDescent="0.3">
      <c r="H14" s="46" t="s">
        <v>32</v>
      </c>
      <c r="I14" s="66" t="s">
        <v>14</v>
      </c>
    </row>
    <row r="15" spans="8:9" x14ac:dyDescent="0.3">
      <c r="H15" s="46" t="s">
        <v>33</v>
      </c>
      <c r="I15" s="66" t="s">
        <v>34</v>
      </c>
    </row>
    <row r="16" spans="8:9" x14ac:dyDescent="0.3">
      <c r="H16" s="46" t="s">
        <v>35</v>
      </c>
      <c r="I16" s="66" t="s">
        <v>36</v>
      </c>
    </row>
    <row r="17" spans="8:9" x14ac:dyDescent="0.3">
      <c r="H17" s="46" t="s">
        <v>37</v>
      </c>
      <c r="I17" s="66" t="s">
        <v>38</v>
      </c>
    </row>
    <row r="18" spans="8:9" ht="16.2" customHeight="1" thickBot="1" x14ac:dyDescent="0.35">
      <c r="H18" s="46" t="s">
        <v>40</v>
      </c>
      <c r="I18" s="67" t="s">
        <v>41</v>
      </c>
    </row>
    <row r="19" spans="8:9" x14ac:dyDescent="0.3">
      <c r="H19" s="55" t="s">
        <v>34</v>
      </c>
    </row>
    <row r="20" spans="8:9" x14ac:dyDescent="0.3">
      <c r="H20" s="46" t="s">
        <v>43</v>
      </c>
    </row>
    <row r="21" spans="8:9" x14ac:dyDescent="0.3">
      <c r="H21" s="46" t="s">
        <v>46</v>
      </c>
    </row>
    <row r="22" spans="8:9" x14ac:dyDescent="0.3">
      <c r="H22" s="46" t="s">
        <v>47</v>
      </c>
      <c r="I22" s="4"/>
    </row>
    <row r="23" spans="8:9" x14ac:dyDescent="0.3">
      <c r="H23" s="46" t="s">
        <v>48</v>
      </c>
      <c r="I23" s="4"/>
    </row>
    <row r="24" spans="8:9" ht="16.2" customHeight="1" thickBot="1" x14ac:dyDescent="0.35">
      <c r="H24" s="56" t="s">
        <v>49</v>
      </c>
      <c r="I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2025-02-16T09:28:58Z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