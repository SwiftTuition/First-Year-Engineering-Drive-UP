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venom\OneDrive - University of Pretoria\Documents\Computer Engineering\Engineering Drive\Year 1\Semester 1\EBN 111 S1 2024\Assignments\Assignment 3\"/>
    </mc:Choice>
  </mc:AlternateContent>
  <xr:revisionPtr revIDLastSave="0" documentId="13_ncr:1_{4C0F1995-6242-487E-93CA-D5427FE0E363}" xr6:coauthVersionLast="47" xr6:coauthVersionMax="47" xr10:uidLastSave="{00000000-0000-0000-0000-000000000000}"/>
  <bookViews>
    <workbookView xWindow="2268" yWindow="2268" windowWidth="17280" windowHeight="8880" tabRatio="500" xr2:uid="{00000000-000D-0000-FFFF-FFFF00000000}"/>
  </bookViews>
  <sheets>
    <sheet name="Sheet1" sheetId="1" r:id="rId1"/>
    <sheet name="Sheet2" sheetId="2" r:id="rId2"/>
  </sheets>
  <definedNames>
    <definedName name="_xlnm.Print_Area" localSheetId="0">Sheet1!$B$1:$F$15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2" i="1" l="1"/>
  <c r="F92" i="1"/>
  <c r="F84" i="1"/>
  <c r="F73" i="1"/>
  <c r="F65" i="1"/>
  <c r="F57" i="1"/>
  <c r="F45" i="1"/>
  <c r="F37" i="1"/>
  <c r="F29" i="1"/>
  <c r="F21" i="1"/>
</calcChain>
</file>

<file path=xl/sharedStrings.xml><?xml version="1.0" encoding="utf-8"?>
<sst xmlns="http://schemas.openxmlformats.org/spreadsheetml/2006/main" count="169" uniqueCount="83">
  <si>
    <t>2024EBN111A03</t>
  </si>
  <si>
    <t>Student number:</t>
  </si>
  <si>
    <t>06/03/2024 8:00 AM - 18/03/2024 11:59 PM</t>
  </si>
  <si>
    <t>Surname &amp; Initials:</t>
  </si>
  <si>
    <t>The general rules and guidelines of electronic evaluation for the Department of Electrical, Electronic and Computer Engineering applies. A copy of the document is available for download from the server.</t>
  </si>
  <si>
    <t>Cells in GREEN contain given parameter values and must not be changed.</t>
  </si>
  <si>
    <t>Your answers are only allowed to be input in the YELLOW cells.</t>
  </si>
  <si>
    <t xml:space="preserve">Cells in BLACK are the question separaters. </t>
  </si>
  <si>
    <t>Units:  For symbols such as Ω as µA you must use the corresponding codes in the list of valid units (Column I) to the right, i.e.,:  &amp;Omega; and &amp;mu;A</t>
  </si>
  <si>
    <t>Complex numbers:  Rectangular format:</t>
  </si>
  <si>
    <t>1.23 + j4.56</t>
  </si>
  <si>
    <t>k&amp;Omega;</t>
  </si>
  <si>
    <t>Polar Format:</t>
  </si>
  <si>
    <t>1.23&amp;ang;4.56&amp;deg;</t>
  </si>
  <si>
    <t>mA</t>
  </si>
  <si>
    <t>Total Marks:</t>
  </si>
  <si>
    <t>Full Marks:</t>
  </si>
  <si>
    <t>Question 1</t>
  </si>
  <si>
    <t>Parameter / Description</t>
  </si>
  <si>
    <t>Numerical</t>
  </si>
  <si>
    <t>Units / Alphanumeric</t>
  </si>
  <si>
    <t>Marks</t>
  </si>
  <si>
    <t>List of examples of valid units</t>
  </si>
  <si>
    <t>List of examples of valid prefixes</t>
  </si>
  <si>
    <t>k</t>
  </si>
  <si>
    <t>&amp;Omega;</t>
  </si>
  <si>
    <t>nA</t>
  </si>
  <si>
    <t>01</t>
  </si>
  <si>
    <t>i3</t>
  </si>
  <si>
    <t>ohm</t>
  </si>
  <si>
    <t>&amp;mu;A</t>
  </si>
  <si>
    <t>Total</t>
  </si>
  <si>
    <t>s</t>
  </si>
  <si>
    <t>C</t>
  </si>
  <si>
    <t>A</t>
  </si>
  <si>
    <t>J</t>
  </si>
  <si>
    <t>kohm</t>
  </si>
  <si>
    <t>W</t>
  </si>
  <si>
    <t>Mohm</t>
  </si>
  <si>
    <t>Question 2</t>
  </si>
  <si>
    <t>V</t>
  </si>
  <si>
    <t>Gohm</t>
  </si>
  <si>
    <t>m</t>
  </si>
  <si>
    <t>H</t>
  </si>
  <si>
    <t>02</t>
  </si>
  <si>
    <t>V3</t>
  </si>
  <si>
    <t>F</t>
  </si>
  <si>
    <t>rad</t>
  </si>
  <si>
    <t>deg</t>
  </si>
  <si>
    <t>Hz</t>
  </si>
  <si>
    <t>Question 3</t>
  </si>
  <si>
    <t>I1</t>
  </si>
  <si>
    <t>03</t>
  </si>
  <si>
    <t>alpha</t>
  </si>
  <si>
    <t>Question 4</t>
  </si>
  <si>
    <t>04</t>
  </si>
  <si>
    <t>Question 5 to 8</t>
  </si>
  <si>
    <t>B</t>
  </si>
  <si>
    <t>05</t>
  </si>
  <si>
    <t>a</t>
  </si>
  <si>
    <t>06</t>
  </si>
  <si>
    <t>b</t>
  </si>
  <si>
    <t>07</t>
  </si>
  <si>
    <t>c</t>
  </si>
  <si>
    <t>08</t>
  </si>
  <si>
    <t>d</t>
  </si>
  <si>
    <t>Question 9</t>
  </si>
  <si>
    <t>Va</t>
  </si>
  <si>
    <t>09</t>
  </si>
  <si>
    <t>Vy</t>
  </si>
  <si>
    <t>Question 10</t>
  </si>
  <si>
    <t>Vb</t>
  </si>
  <si>
    <t>10</t>
  </si>
  <si>
    <t>Ix</t>
  </si>
  <si>
    <t>Question 11</t>
  </si>
  <si>
    <t>Vs</t>
  </si>
  <si>
    <t>11</t>
  </si>
  <si>
    <t>Question 12</t>
  </si>
  <si>
    <t>12</t>
  </si>
  <si>
    <t>i1</t>
  </si>
  <si>
    <t>Question 13</t>
  </si>
  <si>
    <t>13</t>
  </si>
  <si>
    <t>i0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</si>
</sst>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R&quot;#,##0;[Red]\-&quot;R&quot;#,##0"/>
    <numFmt numFmtId="164" formatCode="\R#,##0;[Red]&quot;-R&quot;#,##0"/>
    <numFmt numFmtId="165" formatCode="dddd&quot;, &quot;mmmm\ dd&quot;, &quot;yyyy"/>
  </numFmts>
  <fonts count="24" x14ac:knownFonts="1">
    <font>
      <sz val="12"/>
      <color rgb="FF000000"/>
      <name val="Calibri"/>
      <family val="2"/>
      <charset val="1"/>
    </font>
    <font>
      <sz val="12"/>
      <color rgb="FFBFBFBF"/>
      <name val="Calibri"/>
      <family val="2"/>
      <charset val="1"/>
    </font>
    <font>
      <b/>
      <sz val="14"/>
      <color rgb="FF000000"/>
      <name val="Times New Roman"/>
      <family val="1"/>
      <charset val="1"/>
    </font>
    <font>
      <b/>
      <sz val="11"/>
      <color rgb="FF000000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color rgb="FFBFBFBF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BFBFBF"/>
      <name val="Times New Roman"/>
      <family val="1"/>
      <charset val="1"/>
    </font>
    <font>
      <b/>
      <sz val="12"/>
      <color rgb="FFBFBFBF"/>
      <name val="Times New Roman"/>
      <family val="1"/>
      <charset val="1"/>
    </font>
    <font>
      <sz val="11"/>
      <color rgb="FF000000"/>
      <name val="Times New Roman"/>
      <family val="1"/>
      <charset val="1"/>
    </font>
    <font>
      <b/>
      <sz val="11"/>
      <color rgb="FF000000"/>
      <name val="Calibri"/>
      <family val="2"/>
      <charset val="1"/>
    </font>
    <font>
      <b/>
      <sz val="12"/>
      <color rgb="FF000000"/>
      <name val="Times New Roman"/>
      <family val="1"/>
      <charset val="1"/>
    </font>
    <font>
      <b/>
      <sz val="16"/>
      <color rgb="FF000000"/>
      <name val="Times New Roman"/>
      <family val="1"/>
      <charset val="1"/>
    </font>
    <font>
      <sz val="11"/>
      <color rgb="FFBFBFBF"/>
      <name val="Times New Roman"/>
      <family val="1"/>
      <charset val="1"/>
    </font>
    <font>
      <sz val="12"/>
      <color rgb="FFBFBFBF"/>
      <name val="Times New Roman"/>
      <family val="1"/>
      <charset val="1"/>
    </font>
    <font>
      <sz val="11"/>
      <name val="Times New Roman"/>
      <family val="1"/>
      <charset val="1"/>
    </font>
    <font>
      <sz val="3"/>
      <color rgb="FF000000"/>
      <name val="Times New Roman"/>
      <family val="1"/>
      <charset val="1"/>
    </font>
    <font>
      <sz val="10"/>
      <name val="Times New Roman"/>
      <family val="1"/>
      <charset val="1"/>
    </font>
    <font>
      <i/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A9D18E"/>
        <bgColor rgb="FFBFBFBF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FFF2CC"/>
      </patternFill>
    </fill>
    <fill>
      <patternFill patternType="solid">
        <fgColor rgb="FF404040"/>
        <bgColor rgb="FF333300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3" fillId="2" borderId="1" xfId="0" applyFont="1" applyFill="1" applyBorder="1" applyAlignment="1">
      <alignment vertic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1" fillId="0" borderId="0" xfId="0" applyFont="1" applyAlignment="1">
      <alignment horizontal="center"/>
    </xf>
    <xf numFmtId="0" fontId="6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9" fillId="0" borderId="0" xfId="0" applyFont="1" applyAlignment="1">
      <alignment vertical="top"/>
    </xf>
    <xf numFmtId="0" fontId="6" fillId="0" borderId="0" xfId="0" applyFont="1" applyAlignment="1">
      <alignment horizontal="center" vertical="center"/>
    </xf>
    <xf numFmtId="0" fontId="9" fillId="4" borderId="1" xfId="0" applyFont="1" applyFill="1" applyBorder="1" applyAlignment="1">
      <alignment horizontal="left" vertical="top"/>
    </xf>
    <xf numFmtId="0" fontId="9" fillId="3" borderId="1" xfId="0" applyFont="1" applyFill="1" applyBorder="1" applyAlignment="1">
      <alignment horizontal="left" vertical="top"/>
    </xf>
    <xf numFmtId="0" fontId="9" fillId="7" borderId="1" xfId="0" applyFont="1" applyFill="1" applyBorder="1"/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right" vertical="top"/>
    </xf>
    <xf numFmtId="0" fontId="0" fillId="5" borderId="1" xfId="0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/>
    </xf>
    <xf numFmtId="0" fontId="9" fillId="0" borderId="0" xfId="0" applyFont="1"/>
    <xf numFmtId="0" fontId="12" fillId="0" borderId="21" xfId="0" applyFont="1" applyBorder="1" applyAlignment="1">
      <alignment horizontal="center"/>
    </xf>
    <xf numFmtId="0" fontId="13" fillId="0" borderId="0" xfId="0" applyFont="1"/>
    <xf numFmtId="0" fontId="14" fillId="0" borderId="0" xfId="0" applyFont="1" applyAlignment="1">
      <alignment horizontal="center"/>
    </xf>
    <xf numFmtId="0" fontId="12" fillId="0" borderId="2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" fillId="0" borderId="0" xfId="0" applyFont="1"/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wrapText="1"/>
    </xf>
    <xf numFmtId="0" fontId="3" fillId="6" borderId="3" xfId="0" applyFont="1" applyFill="1" applyBorder="1" applyAlignment="1">
      <alignment vertical="center" wrapText="1"/>
    </xf>
    <xf numFmtId="0" fontId="15" fillId="6" borderId="6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wrapText="1"/>
    </xf>
    <xf numFmtId="0" fontId="9" fillId="6" borderId="7" xfId="0" applyFont="1" applyFill="1" applyBorder="1" applyAlignment="1">
      <alignment horizontal="center"/>
    </xf>
    <xf numFmtId="0" fontId="17" fillId="0" borderId="21" xfId="0" applyFont="1" applyBorder="1" applyAlignment="1">
      <alignment horizontal="center"/>
    </xf>
    <xf numFmtId="0" fontId="3" fillId="6" borderId="8" xfId="0" applyFont="1" applyFill="1" applyBorder="1" applyAlignment="1">
      <alignment vertical="center" wrapText="1"/>
    </xf>
    <xf numFmtId="164" fontId="9" fillId="4" borderId="13" xfId="0" applyNumberFormat="1" applyFont="1" applyFill="1" applyBorder="1" applyAlignment="1">
      <alignment horizontal="center" wrapText="1"/>
    </xf>
    <xf numFmtId="0" fontId="15" fillId="4" borderId="13" xfId="0" applyFont="1" applyFill="1" applyBorder="1" applyAlignment="1">
      <alignment horizontal="center" vertical="center" wrapText="1"/>
    </xf>
    <xf numFmtId="0" fontId="9" fillId="4" borderId="13" xfId="0" applyFont="1" applyFill="1" applyBorder="1" applyAlignment="1">
      <alignment horizontal="center" wrapText="1"/>
    </xf>
    <xf numFmtId="0" fontId="9" fillId="4" borderId="14" xfId="0" applyFont="1" applyFill="1" applyBorder="1" applyAlignment="1">
      <alignment horizontal="center"/>
    </xf>
    <xf numFmtId="0" fontId="17" fillId="0" borderId="22" xfId="0" applyFont="1" applyBorder="1" applyAlignment="1">
      <alignment horizontal="center"/>
    </xf>
    <xf numFmtId="49" fontId="19" fillId="0" borderId="18" xfId="0" quotePrefix="1" applyNumberFormat="1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11" fontId="4" fillId="0" borderId="17" xfId="0" applyNumberFormat="1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/>
    </xf>
    <xf numFmtId="0" fontId="9" fillId="7" borderId="0" xfId="0" applyFont="1" applyFill="1" applyAlignment="1">
      <alignment horizontal="left"/>
    </xf>
    <xf numFmtId="0" fontId="9" fillId="7" borderId="0" xfId="0" applyFont="1" applyFill="1"/>
    <xf numFmtId="0" fontId="9" fillId="7" borderId="0" xfId="0" applyFont="1" applyFill="1" applyAlignment="1">
      <alignment horizontal="center"/>
    </xf>
    <xf numFmtId="0" fontId="17" fillId="0" borderId="22" xfId="0" applyFont="1" applyBorder="1" applyAlignment="1">
      <alignment horizontal="center" vertical="center"/>
    </xf>
    <xf numFmtId="0" fontId="17" fillId="0" borderId="23" xfId="0" applyFont="1" applyBorder="1" applyAlignment="1">
      <alignment horizontal="center"/>
    </xf>
    <xf numFmtId="0" fontId="9" fillId="0" borderId="0" xfId="0" applyFont="1" applyAlignment="1">
      <alignment wrapText="1"/>
    </xf>
    <xf numFmtId="0" fontId="9" fillId="0" borderId="15" xfId="0" applyFont="1" applyBorder="1" applyAlignment="1">
      <alignment horizontal="center"/>
    </xf>
    <xf numFmtId="0" fontId="9" fillId="7" borderId="12" xfId="0" applyFont="1" applyFill="1" applyBorder="1"/>
    <xf numFmtId="0" fontId="9" fillId="0" borderId="16" xfId="0" applyFont="1" applyBorder="1" applyAlignment="1">
      <alignment horizontal="center"/>
    </xf>
    <xf numFmtId="0" fontId="16" fillId="0" borderId="0" xfId="0" applyFont="1"/>
    <xf numFmtId="49" fontId="19" fillId="0" borderId="9" xfId="0" quotePrefix="1" applyNumberFormat="1" applyFont="1" applyBorder="1" applyAlignment="1">
      <alignment horizontal="center"/>
    </xf>
    <xf numFmtId="49" fontId="19" fillId="0" borderId="11" xfId="0" quotePrefix="1" applyNumberFormat="1" applyFont="1" applyBorder="1" applyAlignment="1">
      <alignment horizontal="center"/>
    </xf>
    <xf numFmtId="0" fontId="20" fillId="0" borderId="2" xfId="0" applyFont="1" applyBorder="1" applyAlignment="1">
      <alignment horizontal="center" wrapText="1"/>
    </xf>
    <xf numFmtId="0" fontId="21" fillId="0" borderId="21" xfId="0" applyFont="1" applyBorder="1" applyAlignment="1">
      <alignment horizontal="center"/>
    </xf>
    <xf numFmtId="0" fontId="21" fillId="0" borderId="22" xfId="0" applyFont="1" applyBorder="1" applyAlignment="1">
      <alignment horizontal="center"/>
    </xf>
    <xf numFmtId="0" fontId="21" fillId="0" borderId="23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3" borderId="19" xfId="0" applyFont="1" applyFill="1" applyBorder="1" applyAlignment="1" applyProtection="1">
      <alignment horizontal="center" vertical="center" wrapText="1"/>
      <protection locked="0"/>
    </xf>
    <xf numFmtId="0" fontId="15" fillId="3" borderId="15" xfId="0" applyFont="1" applyFill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>
      <alignment horizontal="center"/>
    </xf>
    <xf numFmtId="0" fontId="15" fillId="3" borderId="1" xfId="0" applyFont="1" applyFill="1" applyBorder="1" applyAlignment="1" applyProtection="1">
      <alignment horizontal="center" vertical="center" wrapText="1"/>
      <protection locked="0"/>
    </xf>
    <xf numFmtId="0" fontId="9" fillId="0" borderId="6" xfId="0" applyFont="1" applyBorder="1" applyAlignment="1">
      <alignment horizontal="center"/>
    </xf>
    <xf numFmtId="0" fontId="15" fillId="3" borderId="6" xfId="0" applyFont="1" applyFill="1" applyBorder="1" applyAlignment="1" applyProtection="1">
      <alignment horizontal="center" vertical="center" wrapText="1"/>
      <protection locked="0"/>
    </xf>
    <xf numFmtId="0" fontId="9" fillId="0" borderId="7" xfId="0" applyFont="1" applyBorder="1" applyAlignment="1">
      <alignment horizontal="center"/>
    </xf>
    <xf numFmtId="49" fontId="19" fillId="0" borderId="25" xfId="0" quotePrefix="1" applyNumberFormat="1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164" fontId="9" fillId="4" borderId="1" xfId="0" applyNumberFormat="1" applyFont="1" applyFill="1" applyBorder="1" applyAlignment="1">
      <alignment horizontal="center" wrapText="1"/>
    </xf>
    <xf numFmtId="0" fontId="15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wrapText="1"/>
    </xf>
    <xf numFmtId="0" fontId="9" fillId="4" borderId="26" xfId="0" applyFont="1" applyFill="1" applyBorder="1" applyAlignment="1">
      <alignment horizontal="center"/>
    </xf>
    <xf numFmtId="0" fontId="15" fillId="6" borderId="15" xfId="0" applyFont="1" applyFill="1" applyBorder="1" applyAlignment="1">
      <alignment horizontal="center" vertical="center" wrapText="1"/>
    </xf>
    <xf numFmtId="0" fontId="9" fillId="6" borderId="15" xfId="0" applyFont="1" applyFill="1" applyBorder="1" applyAlignment="1">
      <alignment horizontal="center" wrapText="1"/>
    </xf>
    <xf numFmtId="0" fontId="9" fillId="6" borderId="16" xfId="0" applyFont="1" applyFill="1" applyBorder="1" applyAlignment="1">
      <alignment horizontal="center"/>
    </xf>
    <xf numFmtId="164" fontId="9" fillId="4" borderId="27" xfId="0" applyNumberFormat="1" applyFont="1" applyFill="1" applyBorder="1" applyAlignment="1">
      <alignment horizontal="center" wrapText="1"/>
    </xf>
    <xf numFmtId="0" fontId="15" fillId="6" borderId="28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wrapText="1"/>
    </xf>
    <xf numFmtId="0" fontId="9" fillId="6" borderId="29" xfId="0" applyFont="1" applyFill="1" applyBorder="1" applyAlignment="1">
      <alignment horizontal="center"/>
    </xf>
    <xf numFmtId="0" fontId="22" fillId="0" borderId="30" xfId="0" applyFont="1" applyBorder="1" applyAlignment="1">
      <alignment horizontal="center" wrapText="1"/>
    </xf>
    <xf numFmtId="0" fontId="23" fillId="0" borderId="30" xfId="0" applyFont="1" applyBorder="1" applyAlignment="1">
      <alignment horizontal="center" wrapText="1"/>
    </xf>
    <xf numFmtId="0" fontId="22" fillId="0" borderId="31" xfId="0" applyFont="1" applyBorder="1" applyAlignment="1">
      <alignment horizontal="center" wrapText="1"/>
    </xf>
    <xf numFmtId="0" fontId="23" fillId="0" borderId="31" xfId="0" applyFont="1" applyBorder="1" applyAlignment="1">
      <alignment horizontal="center" wrapText="1"/>
    </xf>
    <xf numFmtId="0" fontId="23" fillId="0" borderId="32" xfId="0" applyFont="1" applyBorder="1" applyAlignment="1">
      <alignment horizontal="center" wrapText="1"/>
    </xf>
    <xf numFmtId="0" fontId="22" fillId="0" borderId="31" xfId="0" applyFont="1" applyBorder="1" applyAlignment="1">
      <alignment horizontal="center" vertical="center" wrapText="1"/>
    </xf>
    <xf numFmtId="0" fontId="23" fillId="0" borderId="33" xfId="0" applyFont="1" applyBorder="1" applyAlignment="1">
      <alignment horizontal="center" wrapText="1"/>
    </xf>
    <xf numFmtId="0" fontId="22" fillId="0" borderId="32" xfId="0" applyFont="1" applyBorder="1" applyAlignment="1">
      <alignment horizontal="center" wrapText="1"/>
    </xf>
    <xf numFmtId="6" fontId="9" fillId="6" borderId="6" xfId="0" applyNumberFormat="1" applyFont="1" applyFill="1" applyBorder="1" applyAlignment="1">
      <alignment horizontal="center" wrapText="1"/>
    </xf>
    <xf numFmtId="6" fontId="9" fillId="6" borderId="28" xfId="0" applyNumberFormat="1" applyFont="1" applyFill="1" applyBorder="1" applyAlignment="1">
      <alignment horizontal="center" wrapText="1"/>
    </xf>
    <xf numFmtId="6" fontId="9" fillId="6" borderId="15" xfId="0" applyNumberFormat="1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0" fillId="0" borderId="39" xfId="0" applyBorder="1"/>
    <xf numFmtId="0" fontId="0" fillId="0" borderId="38" xfId="0" applyBorder="1"/>
    <xf numFmtId="0" fontId="18" fillId="0" borderId="1" xfId="0" applyFont="1" applyBorder="1" applyAlignment="1">
      <alignment horizontal="left" vertical="top"/>
    </xf>
    <xf numFmtId="0" fontId="2" fillId="0" borderId="34" xfId="0" applyFont="1" applyBorder="1" applyAlignment="1">
      <alignment horizontal="center" vertical="center"/>
    </xf>
    <xf numFmtId="0" fontId="0" fillId="0" borderId="24" xfId="0" applyBorder="1"/>
    <xf numFmtId="0" fontId="0" fillId="0" borderId="35" xfId="0" applyBorder="1"/>
    <xf numFmtId="165" fontId="3" fillId="0" borderId="1" xfId="0" applyNumberFormat="1" applyFont="1" applyBorder="1" applyAlignment="1">
      <alignment horizontal="left"/>
    </xf>
    <xf numFmtId="0" fontId="4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0" fillId="0" borderId="38" xfId="0" applyBorder="1" applyProtection="1">
      <protection locked="0"/>
    </xf>
    <xf numFmtId="0" fontId="19" fillId="0" borderId="0" xfId="0" applyFont="1" applyAlignment="1">
      <alignment horizontal="left" vertical="center" wrapText="1"/>
    </xf>
    <xf numFmtId="0" fontId="0" fillId="0" borderId="0" xfId="0"/>
    <xf numFmtId="0" fontId="3" fillId="6" borderId="3" xfId="0" applyFont="1" applyFill="1" applyBorder="1" applyAlignment="1">
      <alignment horizontal="center" vertical="center" wrapText="1"/>
    </xf>
    <xf numFmtId="0" fontId="0" fillId="0" borderId="8" xfId="0" applyBorder="1"/>
    <xf numFmtId="0" fontId="11" fillId="0" borderId="11" xfId="0" applyFont="1" applyBorder="1" applyAlignment="1">
      <alignment horizontal="center"/>
    </xf>
    <xf numFmtId="0" fontId="0" fillId="0" borderId="37" xfId="0" applyBorder="1"/>
    <xf numFmtId="0" fontId="3" fillId="6" borderId="40" xfId="0" applyFont="1" applyFill="1" applyBorder="1" applyAlignment="1">
      <alignment horizontal="center" vertical="center" wrapText="1"/>
    </xf>
    <xf numFmtId="0" fontId="0" fillId="0" borderId="17" xfId="0" applyBorder="1"/>
    <xf numFmtId="0" fontId="11" fillId="0" borderId="9" xfId="0" applyFont="1" applyBorder="1" applyAlignment="1">
      <alignment horizontal="center"/>
    </xf>
    <xf numFmtId="0" fontId="0" fillId="0" borderId="36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A9D18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104"/>
  <sheetViews>
    <sheetView showGridLines="0" tabSelected="1" zoomScaleNormal="100" workbookViewId="0">
      <selection activeCell="E1" sqref="E1:F1"/>
    </sheetView>
  </sheetViews>
  <sheetFormatPr defaultColWidth="11.09765625" defaultRowHeight="15.6" x14ac:dyDescent="0.3"/>
  <cols>
    <col min="1" max="1" width="2.3984375" customWidth="1"/>
    <col min="2" max="2" width="9.59765625" customWidth="1"/>
    <col min="3" max="3" width="38.8984375" customWidth="1"/>
    <col min="4" max="4" width="25.8984375" customWidth="1"/>
    <col min="5" max="5" width="17.59765625" customWidth="1"/>
    <col min="6" max="6" width="13.5" customWidth="1"/>
    <col min="7" max="7" width="5.09765625" customWidth="1"/>
    <col min="8" max="8" width="4.69921875" style="31" customWidth="1"/>
    <col min="9" max="9" width="15.09765625" customWidth="1"/>
    <col min="10" max="10" width="14.69921875" style="4" customWidth="1"/>
    <col min="11" max="23" width="4.69921875" customWidth="1"/>
  </cols>
  <sheetData>
    <row r="1" spans="2:13" ht="17.399999999999999" customHeight="1" x14ac:dyDescent="0.3">
      <c r="B1" s="109" t="s">
        <v>0</v>
      </c>
      <c r="C1" s="102"/>
      <c r="D1" s="1" t="s">
        <v>1</v>
      </c>
      <c r="E1" s="108"/>
      <c r="F1" s="102"/>
      <c r="G1" s="2"/>
      <c r="H1" s="3"/>
      <c r="K1" s="5"/>
      <c r="L1" s="5"/>
      <c r="M1" s="5"/>
    </row>
    <row r="2" spans="2:13" x14ac:dyDescent="0.3">
      <c r="B2" s="107" t="s">
        <v>2</v>
      </c>
      <c r="C2" s="102"/>
      <c r="D2" s="1" t="s">
        <v>3</v>
      </c>
      <c r="E2" s="110"/>
      <c r="F2" s="111"/>
      <c r="G2" s="6"/>
      <c r="H2" s="3"/>
      <c r="K2" s="5"/>
      <c r="L2" s="5"/>
      <c r="M2" s="5"/>
    </row>
    <row r="3" spans="2:13" x14ac:dyDescent="0.3">
      <c r="B3" s="7"/>
      <c r="C3" s="7"/>
      <c r="D3" s="7"/>
      <c r="E3" s="7"/>
      <c r="F3" s="7"/>
      <c r="G3" s="7"/>
      <c r="H3" s="8"/>
      <c r="J3" s="9"/>
      <c r="K3" s="7"/>
      <c r="L3" s="7"/>
      <c r="M3" s="7"/>
    </row>
    <row r="4" spans="2:13" ht="33.9" customHeight="1" x14ac:dyDescent="0.3">
      <c r="B4" s="100" t="s">
        <v>4</v>
      </c>
      <c r="C4" s="101"/>
      <c r="D4" s="101"/>
      <c r="E4" s="101"/>
      <c r="F4" s="102"/>
      <c r="G4" s="10"/>
      <c r="H4" s="8"/>
      <c r="J4" s="9"/>
      <c r="K4" s="7"/>
      <c r="L4" s="7"/>
      <c r="M4" s="7"/>
    </row>
    <row r="5" spans="2:13" x14ac:dyDescent="0.3">
      <c r="B5" s="11"/>
      <c r="C5" s="5"/>
      <c r="D5" s="12"/>
      <c r="E5" s="12"/>
      <c r="F5" s="5"/>
      <c r="G5" s="5"/>
      <c r="H5" s="3"/>
      <c r="K5" s="5"/>
      <c r="L5" s="5"/>
      <c r="M5" s="5"/>
    </row>
    <row r="6" spans="2:13" x14ac:dyDescent="0.3">
      <c r="B6" s="13"/>
      <c r="C6" s="103" t="s">
        <v>5</v>
      </c>
      <c r="D6" s="102"/>
      <c r="E6" s="12"/>
      <c r="F6" s="5"/>
      <c r="G6" s="5"/>
      <c r="H6" s="3"/>
      <c r="K6" s="5"/>
      <c r="L6" s="5"/>
      <c r="M6" s="5"/>
    </row>
    <row r="7" spans="2:13" x14ac:dyDescent="0.3">
      <c r="B7" s="14"/>
      <c r="C7" s="103" t="s">
        <v>6</v>
      </c>
      <c r="D7" s="102"/>
      <c r="E7" s="12"/>
      <c r="F7" s="5"/>
      <c r="G7" s="5"/>
      <c r="H7" s="3"/>
      <c r="L7" s="5"/>
      <c r="M7" s="5"/>
    </row>
    <row r="8" spans="2:13" x14ac:dyDescent="0.3">
      <c r="B8" s="15"/>
      <c r="C8" s="103" t="s">
        <v>7</v>
      </c>
      <c r="D8" s="102"/>
      <c r="E8" s="12"/>
      <c r="F8" s="5"/>
      <c r="G8" s="5"/>
      <c r="H8" s="3"/>
      <c r="L8" s="5"/>
      <c r="M8" s="5"/>
    </row>
    <row r="9" spans="2:13" x14ac:dyDescent="0.3">
      <c r="B9" s="16"/>
      <c r="C9" s="5"/>
      <c r="D9" s="12"/>
      <c r="E9" s="12"/>
      <c r="F9" s="5"/>
      <c r="G9" s="5"/>
      <c r="H9" s="3"/>
      <c r="L9" s="5"/>
      <c r="M9" s="5"/>
    </row>
    <row r="10" spans="2:13" ht="27" customHeight="1" x14ac:dyDescent="0.3">
      <c r="B10" s="112" t="s">
        <v>8</v>
      </c>
      <c r="C10" s="113"/>
      <c r="D10" s="113"/>
      <c r="E10" s="113"/>
      <c r="F10" s="113"/>
      <c r="G10" s="5"/>
      <c r="H10" s="3"/>
      <c r="L10" s="5"/>
      <c r="M10" s="5"/>
    </row>
    <row r="11" spans="2:13" x14ac:dyDescent="0.3">
      <c r="B11" s="5"/>
      <c r="C11" s="17" t="s">
        <v>9</v>
      </c>
      <c r="D11" s="18" t="s">
        <v>10</v>
      </c>
      <c r="E11" s="19" t="s">
        <v>11</v>
      </c>
      <c r="F11" s="5"/>
      <c r="G11" s="5"/>
      <c r="H11" s="3"/>
      <c r="L11" s="5"/>
      <c r="M11" s="5"/>
    </row>
    <row r="12" spans="2:13" x14ac:dyDescent="0.3">
      <c r="B12" s="16"/>
      <c r="C12" s="20" t="s">
        <v>12</v>
      </c>
      <c r="D12" s="18" t="s">
        <v>13</v>
      </c>
      <c r="E12" s="19" t="s">
        <v>14</v>
      </c>
      <c r="F12" s="5"/>
      <c r="G12" s="5"/>
      <c r="H12" s="3"/>
      <c r="L12" s="5"/>
      <c r="M12" s="5"/>
    </row>
    <row r="13" spans="2:13" ht="16.2" customHeight="1" thickBot="1" x14ac:dyDescent="0.35">
      <c r="B13" s="16"/>
      <c r="C13" s="21"/>
      <c r="D13" s="22"/>
      <c r="E13" s="12"/>
      <c r="F13" s="5"/>
      <c r="G13" s="5"/>
      <c r="H13" s="3"/>
      <c r="L13" s="5"/>
      <c r="M13" s="5"/>
    </row>
    <row r="14" spans="2:13" ht="21" customHeight="1" thickBot="1" x14ac:dyDescent="0.4">
      <c r="B14" s="23"/>
      <c r="C14" s="24"/>
      <c r="D14" s="120" t="s">
        <v>15</v>
      </c>
      <c r="E14" s="121"/>
      <c r="F14" s="25">
        <v>20</v>
      </c>
      <c r="G14" s="24"/>
      <c r="H14" s="26"/>
      <c r="J14" s="27"/>
      <c r="L14" s="24"/>
      <c r="M14" s="24"/>
    </row>
    <row r="15" spans="2:13" ht="21" customHeight="1" thickBot="1" x14ac:dyDescent="0.4">
      <c r="B15" s="23"/>
      <c r="C15" s="24"/>
      <c r="D15" s="116" t="s">
        <v>16</v>
      </c>
      <c r="E15" s="117"/>
      <c r="F15" s="28">
        <v>20</v>
      </c>
      <c r="G15" s="24"/>
      <c r="H15" s="26"/>
      <c r="J15" s="27"/>
    </row>
    <row r="16" spans="2:13" ht="21" customHeight="1" thickBot="1" x14ac:dyDescent="0.4">
      <c r="B16" s="23"/>
      <c r="C16" s="24"/>
      <c r="D16" s="29"/>
      <c r="E16" s="29"/>
      <c r="F16" s="30"/>
      <c r="G16" s="24"/>
      <c r="H16" s="26"/>
      <c r="J16" s="27"/>
    </row>
    <row r="17" spans="2:10" ht="18" customHeight="1" thickBot="1" x14ac:dyDescent="0.35">
      <c r="B17" s="104" t="s">
        <v>17</v>
      </c>
      <c r="C17" s="105"/>
      <c r="D17" s="105"/>
      <c r="E17" s="105"/>
      <c r="F17" s="106"/>
    </row>
    <row r="18" spans="2:10" ht="28.8" customHeight="1" thickBot="1" x14ac:dyDescent="0.35">
      <c r="B18" s="32"/>
      <c r="C18" s="33" t="s">
        <v>18</v>
      </c>
      <c r="D18" s="33" t="s">
        <v>19</v>
      </c>
      <c r="E18" s="33" t="s">
        <v>20</v>
      </c>
      <c r="F18" s="34" t="s">
        <v>21</v>
      </c>
      <c r="I18" s="35" t="s">
        <v>22</v>
      </c>
      <c r="J18" s="64" t="s">
        <v>23</v>
      </c>
    </row>
    <row r="19" spans="2:10" ht="16.2" customHeight="1" thickBot="1" x14ac:dyDescent="0.35">
      <c r="B19" s="36"/>
      <c r="C19" s="97" t="s">
        <v>24</v>
      </c>
      <c r="D19" s="37">
        <v>1</v>
      </c>
      <c r="E19" s="59"/>
      <c r="F19" s="39"/>
      <c r="I19" s="89" t="s">
        <v>25</v>
      </c>
      <c r="J19" s="90" t="s">
        <v>26</v>
      </c>
    </row>
    <row r="20" spans="2:10" ht="16.2" customHeight="1" thickBot="1" x14ac:dyDescent="0.35">
      <c r="B20" s="47" t="s">
        <v>27</v>
      </c>
      <c r="C20" s="48" t="s">
        <v>28</v>
      </c>
      <c r="D20" s="69"/>
      <c r="E20" s="59"/>
      <c r="F20" s="49">
        <v>2</v>
      </c>
      <c r="I20" s="91" t="s">
        <v>29</v>
      </c>
      <c r="J20" s="92" t="s">
        <v>30</v>
      </c>
    </row>
    <row r="21" spans="2:10" ht="16.2" customHeight="1" thickBot="1" x14ac:dyDescent="0.35">
      <c r="E21" s="50" t="s">
        <v>31</v>
      </c>
      <c r="F21" s="51">
        <f>SUM(F20)</f>
        <v>2</v>
      </c>
      <c r="I21" s="91" t="s">
        <v>32</v>
      </c>
      <c r="J21" s="92" t="s">
        <v>14</v>
      </c>
    </row>
    <row r="22" spans="2:10" x14ac:dyDescent="0.3">
      <c r="I22" s="91" t="s">
        <v>33</v>
      </c>
      <c r="J22" s="92" t="s">
        <v>34</v>
      </c>
    </row>
    <row r="23" spans="2:10" x14ac:dyDescent="0.3">
      <c r="B23" s="52"/>
      <c r="C23" s="53"/>
      <c r="D23" s="53"/>
      <c r="E23" s="53"/>
      <c r="F23" s="54"/>
      <c r="I23" s="91" t="s">
        <v>35</v>
      </c>
      <c r="J23" s="92" t="s">
        <v>36</v>
      </c>
    </row>
    <row r="24" spans="2:10" ht="16.2" customHeight="1" thickBot="1" x14ac:dyDescent="0.35">
      <c r="I24" s="91" t="s">
        <v>37</v>
      </c>
      <c r="J24" s="92" t="s">
        <v>38</v>
      </c>
    </row>
    <row r="25" spans="2:10" ht="18" customHeight="1" thickBot="1" x14ac:dyDescent="0.35">
      <c r="B25" s="104" t="s">
        <v>39</v>
      </c>
      <c r="C25" s="105"/>
      <c r="D25" s="105"/>
      <c r="E25" s="105"/>
      <c r="F25" s="106"/>
      <c r="I25" s="91" t="s">
        <v>40</v>
      </c>
      <c r="J25" s="93" t="s">
        <v>41</v>
      </c>
    </row>
    <row r="26" spans="2:10" ht="28.2" customHeight="1" thickBot="1" x14ac:dyDescent="0.35">
      <c r="B26" s="32"/>
      <c r="C26" s="33" t="s">
        <v>18</v>
      </c>
      <c r="D26" s="33" t="s">
        <v>19</v>
      </c>
      <c r="E26" s="33" t="s">
        <v>20</v>
      </c>
      <c r="F26" s="34" t="s">
        <v>21</v>
      </c>
      <c r="I26" s="94" t="s">
        <v>34</v>
      </c>
      <c r="J26" s="95"/>
    </row>
    <row r="27" spans="2:10" ht="16.2" customHeight="1" thickBot="1" x14ac:dyDescent="0.35">
      <c r="B27" s="36"/>
      <c r="C27" s="97" t="s">
        <v>42</v>
      </c>
      <c r="D27" s="37">
        <v>28</v>
      </c>
      <c r="E27" s="59"/>
      <c r="F27" s="39"/>
      <c r="I27" s="91" t="s">
        <v>43</v>
      </c>
    </row>
    <row r="28" spans="2:10" ht="16.2" customHeight="1" thickBot="1" x14ac:dyDescent="0.35">
      <c r="B28" s="47" t="s">
        <v>44</v>
      </c>
      <c r="C28" s="48" t="s">
        <v>45</v>
      </c>
      <c r="D28" s="69"/>
      <c r="E28" s="59"/>
      <c r="F28" s="49">
        <v>2</v>
      </c>
      <c r="I28" s="91" t="s">
        <v>46</v>
      </c>
    </row>
    <row r="29" spans="2:10" ht="16.2" customHeight="1" thickBot="1" x14ac:dyDescent="0.35">
      <c r="E29" s="50" t="s">
        <v>31</v>
      </c>
      <c r="F29" s="51">
        <f>SUM(F28)</f>
        <v>2</v>
      </c>
      <c r="I29" s="91" t="s">
        <v>47</v>
      </c>
    </row>
    <row r="30" spans="2:10" x14ac:dyDescent="0.3">
      <c r="I30" s="91" t="s">
        <v>48</v>
      </c>
    </row>
    <row r="31" spans="2:10" ht="16.2" customHeight="1" thickBot="1" x14ac:dyDescent="0.35">
      <c r="B31" s="52"/>
      <c r="C31" s="53"/>
      <c r="D31" s="53"/>
      <c r="E31" s="53"/>
      <c r="F31" s="54"/>
      <c r="I31" s="96" t="s">
        <v>49</v>
      </c>
    </row>
    <row r="32" spans="2:10" ht="16.2" customHeight="1" thickBot="1" x14ac:dyDescent="0.35"/>
    <row r="33" spans="2:6" ht="18" customHeight="1" thickBot="1" x14ac:dyDescent="0.35">
      <c r="B33" s="104" t="s">
        <v>50</v>
      </c>
      <c r="C33" s="105"/>
      <c r="D33" s="105"/>
      <c r="E33" s="105"/>
      <c r="F33" s="106"/>
    </row>
    <row r="34" spans="2:6" ht="28.2" customHeight="1" thickBot="1" x14ac:dyDescent="0.35">
      <c r="B34" s="32"/>
      <c r="C34" s="33" t="s">
        <v>18</v>
      </c>
      <c r="D34" s="33" t="s">
        <v>19</v>
      </c>
      <c r="E34" s="33" t="s">
        <v>20</v>
      </c>
      <c r="F34" s="34" t="s">
        <v>21</v>
      </c>
    </row>
    <row r="35" spans="2:6" ht="16.2" customHeight="1" thickBot="1" x14ac:dyDescent="0.35">
      <c r="B35" s="36"/>
      <c r="C35" s="97" t="s">
        <v>51</v>
      </c>
      <c r="D35" s="37">
        <v>10</v>
      </c>
      <c r="E35" s="59"/>
      <c r="F35" s="39"/>
    </row>
    <row r="36" spans="2:6" ht="16.2" customHeight="1" thickBot="1" x14ac:dyDescent="0.35">
      <c r="B36" s="47" t="s">
        <v>52</v>
      </c>
      <c r="C36" s="48" t="s">
        <v>53</v>
      </c>
      <c r="D36" s="69"/>
      <c r="E36" s="59"/>
      <c r="F36" s="49">
        <v>1</v>
      </c>
    </row>
    <row r="37" spans="2:6" ht="16.2" customHeight="1" thickBot="1" x14ac:dyDescent="0.35">
      <c r="E37" s="50" t="s">
        <v>31</v>
      </c>
      <c r="F37" s="51">
        <f>SUM(F36)</f>
        <v>1</v>
      </c>
    </row>
    <row r="39" spans="2:6" x14ac:dyDescent="0.3">
      <c r="B39" s="52"/>
      <c r="C39" s="53"/>
      <c r="D39" s="53"/>
      <c r="E39" s="53"/>
      <c r="F39" s="54"/>
    </row>
    <row r="40" spans="2:6" ht="16.2" customHeight="1" thickBot="1" x14ac:dyDescent="0.35"/>
    <row r="41" spans="2:6" ht="18" customHeight="1" thickBot="1" x14ac:dyDescent="0.35">
      <c r="B41" s="104" t="s">
        <v>54</v>
      </c>
      <c r="C41" s="105"/>
      <c r="D41" s="105"/>
      <c r="E41" s="105"/>
      <c r="F41" s="106"/>
    </row>
    <row r="42" spans="2:6" ht="28.2" customHeight="1" thickBot="1" x14ac:dyDescent="0.35">
      <c r="B42" s="32"/>
      <c r="C42" s="33" t="s">
        <v>18</v>
      </c>
      <c r="D42" s="33" t="s">
        <v>19</v>
      </c>
      <c r="E42" s="33" t="s">
        <v>20</v>
      </c>
      <c r="F42" s="34" t="s">
        <v>21</v>
      </c>
    </row>
    <row r="43" spans="2:6" ht="16.2" customHeight="1" thickBot="1" x14ac:dyDescent="0.35">
      <c r="B43" s="36"/>
      <c r="C43" s="97" t="s">
        <v>42</v>
      </c>
      <c r="D43" s="37">
        <v>12</v>
      </c>
      <c r="E43" s="59"/>
      <c r="F43" s="39"/>
    </row>
    <row r="44" spans="2:6" ht="16.2" customHeight="1" thickBot="1" x14ac:dyDescent="0.35">
      <c r="B44" s="47" t="s">
        <v>55</v>
      </c>
      <c r="C44" s="48" t="s">
        <v>24</v>
      </c>
      <c r="D44" s="69"/>
      <c r="E44" s="59"/>
      <c r="F44" s="49">
        <v>1</v>
      </c>
    </row>
    <row r="45" spans="2:6" ht="16.2" customHeight="1" thickBot="1" x14ac:dyDescent="0.35">
      <c r="E45" s="50" t="s">
        <v>31</v>
      </c>
      <c r="F45" s="51">
        <f>SUM(F44)</f>
        <v>1</v>
      </c>
    </row>
    <row r="47" spans="2:6" x14ac:dyDescent="0.3">
      <c r="B47" s="52"/>
      <c r="C47" s="53"/>
      <c r="D47" s="53"/>
      <c r="E47" s="53"/>
      <c r="F47" s="54"/>
    </row>
    <row r="48" spans="2:6" ht="16.2" customHeight="1" thickBot="1" x14ac:dyDescent="0.35"/>
    <row r="49" spans="2:6" ht="18" customHeight="1" thickBot="1" x14ac:dyDescent="0.35">
      <c r="B49" s="104" t="s">
        <v>56</v>
      </c>
      <c r="C49" s="105"/>
      <c r="D49" s="105"/>
      <c r="E49" s="105"/>
      <c r="F49" s="106"/>
    </row>
    <row r="50" spans="2:6" ht="28.2" customHeight="1" thickBot="1" x14ac:dyDescent="0.35">
      <c r="B50" s="32"/>
      <c r="C50" s="33" t="s">
        <v>18</v>
      </c>
      <c r="D50" s="33" t="s">
        <v>19</v>
      </c>
      <c r="E50" s="33" t="s">
        <v>20</v>
      </c>
      <c r="F50" s="34" t="s">
        <v>21</v>
      </c>
    </row>
    <row r="51" spans="2:6" ht="16.2" customHeight="1" thickBot="1" x14ac:dyDescent="0.35">
      <c r="B51" s="36"/>
      <c r="C51" s="97" t="s">
        <v>34</v>
      </c>
      <c r="D51" s="37">
        <v>9</v>
      </c>
      <c r="E51" s="59"/>
      <c r="F51" s="39"/>
    </row>
    <row r="52" spans="2:6" ht="16.2" customHeight="1" thickBot="1" x14ac:dyDescent="0.35">
      <c r="B52" s="41"/>
      <c r="C52" s="42" t="s">
        <v>57</v>
      </c>
      <c r="D52" s="43">
        <v>13</v>
      </c>
      <c r="E52" s="44" t="s">
        <v>29</v>
      </c>
      <c r="F52" s="45"/>
    </row>
    <row r="53" spans="2:6" x14ac:dyDescent="0.3">
      <c r="B53" s="62" t="s">
        <v>58</v>
      </c>
      <c r="C53" s="73" t="s">
        <v>59</v>
      </c>
      <c r="D53" s="74"/>
      <c r="E53" s="15"/>
      <c r="F53" s="75">
        <v>1</v>
      </c>
    </row>
    <row r="54" spans="2:6" x14ac:dyDescent="0.3">
      <c r="B54" s="76" t="s">
        <v>60</v>
      </c>
      <c r="C54" s="71" t="s">
        <v>61</v>
      </c>
      <c r="D54" s="72"/>
      <c r="E54" s="15"/>
      <c r="F54" s="77">
        <v>1</v>
      </c>
    </row>
    <row r="55" spans="2:6" x14ac:dyDescent="0.3">
      <c r="B55" s="76" t="s">
        <v>62</v>
      </c>
      <c r="C55" s="71" t="s">
        <v>63</v>
      </c>
      <c r="D55" s="72"/>
      <c r="E55" s="15"/>
      <c r="F55" s="77">
        <v>1</v>
      </c>
    </row>
    <row r="56" spans="2:6" ht="16.2" customHeight="1" thickBot="1" x14ac:dyDescent="0.35">
      <c r="B56" s="63" t="s">
        <v>64</v>
      </c>
      <c r="C56" s="58" t="s">
        <v>65</v>
      </c>
      <c r="D56" s="70"/>
      <c r="E56" s="15"/>
      <c r="F56" s="60">
        <v>1</v>
      </c>
    </row>
    <row r="57" spans="2:6" ht="16.2" customHeight="1" thickBot="1" x14ac:dyDescent="0.35">
      <c r="E57" s="50" t="s">
        <v>31</v>
      </c>
      <c r="F57" s="51">
        <f>SUM(F53:F56)</f>
        <v>4</v>
      </c>
    </row>
    <row r="59" spans="2:6" x14ac:dyDescent="0.3">
      <c r="B59" s="52"/>
      <c r="C59" s="53"/>
      <c r="D59" s="53"/>
      <c r="E59" s="53"/>
      <c r="F59" s="54"/>
    </row>
    <row r="60" spans="2:6" ht="16.2" customHeight="1" thickBot="1" x14ac:dyDescent="0.35"/>
    <row r="61" spans="2:6" ht="18" customHeight="1" thickBot="1" x14ac:dyDescent="0.35">
      <c r="B61" s="104" t="s">
        <v>66</v>
      </c>
      <c r="C61" s="105"/>
      <c r="D61" s="105"/>
      <c r="E61" s="105"/>
      <c r="F61" s="106"/>
    </row>
    <row r="62" spans="2:6" ht="28.2" customHeight="1" thickBot="1" x14ac:dyDescent="0.35">
      <c r="B62" s="32"/>
      <c r="C62" s="33" t="s">
        <v>18</v>
      </c>
      <c r="D62" s="33" t="s">
        <v>19</v>
      </c>
      <c r="E62" s="33" t="s">
        <v>20</v>
      </c>
      <c r="F62" s="34" t="s">
        <v>21</v>
      </c>
    </row>
    <row r="63" spans="2:6" ht="16.2" customHeight="1" thickBot="1" x14ac:dyDescent="0.35">
      <c r="B63" s="36"/>
      <c r="C63" s="97" t="s">
        <v>67</v>
      </c>
      <c r="D63" s="37">
        <v>2</v>
      </c>
      <c r="E63" s="38" t="s">
        <v>40</v>
      </c>
      <c r="F63" s="39"/>
    </row>
    <row r="64" spans="2:6" ht="16.2" customHeight="1" thickBot="1" x14ac:dyDescent="0.35">
      <c r="B64" s="47" t="s">
        <v>68</v>
      </c>
      <c r="C64" s="48" t="s">
        <v>69</v>
      </c>
      <c r="D64" s="69"/>
      <c r="E64" s="69"/>
      <c r="F64" s="49">
        <v>2</v>
      </c>
    </row>
    <row r="65" spans="2:13" ht="16.2" customHeight="1" thickBot="1" x14ac:dyDescent="0.35">
      <c r="E65" s="50" t="s">
        <v>31</v>
      </c>
      <c r="F65" s="51">
        <f>SUM(F64)</f>
        <v>2</v>
      </c>
    </row>
    <row r="67" spans="2:13" x14ac:dyDescent="0.3">
      <c r="B67" s="52"/>
      <c r="C67" s="53"/>
      <c r="D67" s="53"/>
      <c r="E67" s="53"/>
      <c r="F67" s="54"/>
    </row>
    <row r="68" spans="2:13" ht="16.2" customHeight="1" thickBot="1" x14ac:dyDescent="0.35">
      <c r="I68" s="68"/>
    </row>
    <row r="69" spans="2:13" ht="18" customHeight="1" thickBot="1" x14ac:dyDescent="0.35">
      <c r="B69" s="104" t="s">
        <v>70</v>
      </c>
      <c r="C69" s="105"/>
      <c r="D69" s="105"/>
      <c r="E69" s="105"/>
      <c r="F69" s="106"/>
    </row>
    <row r="70" spans="2:13" ht="28.2" customHeight="1" thickBot="1" x14ac:dyDescent="0.35">
      <c r="B70" s="32"/>
      <c r="C70" s="33" t="s">
        <v>18</v>
      </c>
      <c r="D70" s="33" t="s">
        <v>19</v>
      </c>
      <c r="E70" s="33" t="s">
        <v>20</v>
      </c>
      <c r="F70" s="34" t="s">
        <v>21</v>
      </c>
    </row>
    <row r="71" spans="2:13" ht="16.2" customHeight="1" thickBot="1" x14ac:dyDescent="0.35">
      <c r="B71" s="36"/>
      <c r="C71" s="97" t="s">
        <v>71</v>
      </c>
      <c r="D71" s="37">
        <v>1</v>
      </c>
      <c r="E71" s="38" t="s">
        <v>40</v>
      </c>
      <c r="F71" s="39"/>
    </row>
    <row r="72" spans="2:13" ht="16.2" customHeight="1" thickBot="1" x14ac:dyDescent="0.35">
      <c r="B72" s="47" t="s">
        <v>72</v>
      </c>
      <c r="C72" s="48" t="s">
        <v>73</v>
      </c>
      <c r="D72" s="69"/>
      <c r="E72" s="69"/>
      <c r="F72" s="49">
        <v>2</v>
      </c>
      <c r="I72" s="68"/>
      <c r="L72" s="24"/>
      <c r="M72" s="24"/>
    </row>
    <row r="73" spans="2:13" ht="16.2" customHeight="1" thickBot="1" x14ac:dyDescent="0.35">
      <c r="E73" s="50" t="s">
        <v>31</v>
      </c>
      <c r="F73" s="51">
        <f>SUM(F72)</f>
        <v>2</v>
      </c>
      <c r="I73" s="68"/>
      <c r="L73" s="24"/>
      <c r="M73" s="24"/>
    </row>
    <row r="74" spans="2:13" x14ac:dyDescent="0.3">
      <c r="I74" s="68"/>
      <c r="L74" s="24"/>
    </row>
    <row r="75" spans="2:13" x14ac:dyDescent="0.3">
      <c r="B75" s="52"/>
      <c r="C75" s="53"/>
      <c r="D75" s="53"/>
      <c r="E75" s="53"/>
      <c r="F75" s="54"/>
      <c r="M75" s="24"/>
    </row>
    <row r="76" spans="2:13" ht="16.2" customHeight="1" thickBot="1" x14ac:dyDescent="0.35">
      <c r="M76" s="24"/>
    </row>
    <row r="77" spans="2:13" ht="18" customHeight="1" thickBot="1" x14ac:dyDescent="0.35">
      <c r="B77" s="104" t="s">
        <v>74</v>
      </c>
      <c r="C77" s="105"/>
      <c r="D77" s="105"/>
      <c r="E77" s="105"/>
      <c r="F77" s="106"/>
      <c r="M77" s="24"/>
    </row>
    <row r="78" spans="2:13" ht="28.2" customHeight="1" thickBot="1" x14ac:dyDescent="0.35">
      <c r="B78" s="32"/>
      <c r="C78" s="33" t="s">
        <v>18</v>
      </c>
      <c r="D78" s="33" t="s">
        <v>19</v>
      </c>
      <c r="E78" s="33" t="s">
        <v>20</v>
      </c>
      <c r="F78" s="34" t="s">
        <v>21</v>
      </c>
      <c r="J78" s="27"/>
      <c r="K78" s="57"/>
      <c r="M78" s="24"/>
    </row>
    <row r="79" spans="2:13" x14ac:dyDescent="0.3">
      <c r="B79" s="114"/>
      <c r="C79" s="97">
        <v>1</v>
      </c>
      <c r="D79" s="37">
        <v>9</v>
      </c>
      <c r="E79" s="38" t="s">
        <v>29</v>
      </c>
      <c r="F79" s="39"/>
      <c r="J79" s="27"/>
      <c r="K79" s="24"/>
      <c r="M79" s="24"/>
    </row>
    <row r="80" spans="2:13" x14ac:dyDescent="0.3">
      <c r="B80" s="115"/>
      <c r="C80" s="78">
        <v>2</v>
      </c>
      <c r="D80" s="79">
        <v>49</v>
      </c>
      <c r="E80" s="80" t="s">
        <v>29</v>
      </c>
      <c r="F80" s="81"/>
      <c r="J80" s="27"/>
      <c r="K80" s="24"/>
      <c r="M80" s="24"/>
    </row>
    <row r="81" spans="2:13" x14ac:dyDescent="0.3">
      <c r="B81" s="115"/>
      <c r="C81" s="98">
        <v>3</v>
      </c>
      <c r="D81" s="86">
        <v>24</v>
      </c>
      <c r="E81" s="87" t="s">
        <v>29</v>
      </c>
      <c r="F81" s="88"/>
      <c r="J81" s="27"/>
      <c r="K81" s="24"/>
      <c r="M81" s="24"/>
    </row>
    <row r="82" spans="2:13" ht="16.2" customHeight="1" thickBot="1" x14ac:dyDescent="0.35">
      <c r="B82" s="115"/>
      <c r="C82" s="85" t="s">
        <v>75</v>
      </c>
      <c r="D82" s="79">
        <v>9</v>
      </c>
      <c r="E82" s="44" t="s">
        <v>40</v>
      </c>
      <c r="F82" s="81"/>
      <c r="J82" s="27"/>
      <c r="K82" s="24"/>
      <c r="M82" s="24"/>
    </row>
    <row r="83" spans="2:13" ht="16.2" customHeight="1" thickBot="1" x14ac:dyDescent="0.35">
      <c r="B83" s="47" t="s">
        <v>76</v>
      </c>
      <c r="C83" s="48" t="s">
        <v>73</v>
      </c>
      <c r="D83" s="69"/>
      <c r="E83" s="69"/>
      <c r="F83" s="49">
        <v>2</v>
      </c>
      <c r="J83" s="27"/>
      <c r="K83" s="24"/>
    </row>
    <row r="84" spans="2:13" ht="16.2" customHeight="1" thickBot="1" x14ac:dyDescent="0.35">
      <c r="E84" s="50" t="s">
        <v>31</v>
      </c>
      <c r="F84" s="51">
        <f>SUM(F83:F83)</f>
        <v>2</v>
      </c>
      <c r="J84" s="27"/>
      <c r="K84" s="24"/>
    </row>
    <row r="85" spans="2:13" x14ac:dyDescent="0.3">
      <c r="J85" s="27"/>
      <c r="K85" s="24"/>
    </row>
    <row r="86" spans="2:13" x14ac:dyDescent="0.3">
      <c r="B86" s="52"/>
      <c r="C86" s="53"/>
      <c r="D86" s="53"/>
      <c r="E86" s="53"/>
      <c r="F86" s="54"/>
      <c r="J86" s="27"/>
      <c r="K86" s="24"/>
    </row>
    <row r="87" spans="2:13" ht="16.2" customHeight="1" thickBot="1" x14ac:dyDescent="0.35">
      <c r="J87" s="27"/>
      <c r="K87" s="24"/>
    </row>
    <row r="88" spans="2:13" ht="18" customHeight="1" thickBot="1" x14ac:dyDescent="0.35">
      <c r="B88" s="104" t="s">
        <v>77</v>
      </c>
      <c r="C88" s="105"/>
      <c r="D88" s="105"/>
      <c r="E88" s="105"/>
      <c r="F88" s="106"/>
      <c r="J88" s="27"/>
      <c r="K88" s="24"/>
    </row>
    <row r="89" spans="2:13" ht="28.2" customHeight="1" thickBot="1" x14ac:dyDescent="0.35">
      <c r="B89" s="32"/>
      <c r="C89" s="33" t="s">
        <v>18</v>
      </c>
      <c r="D89" s="33" t="s">
        <v>19</v>
      </c>
      <c r="E89" s="33" t="s">
        <v>20</v>
      </c>
      <c r="F89" s="34" t="s">
        <v>21</v>
      </c>
      <c r="J89" s="27"/>
      <c r="K89" s="24"/>
    </row>
    <row r="90" spans="2:13" ht="16.2" customHeight="1" thickBot="1" x14ac:dyDescent="0.35">
      <c r="B90" s="36"/>
      <c r="C90" s="97" t="s">
        <v>75</v>
      </c>
      <c r="D90" s="37">
        <v>7</v>
      </c>
      <c r="E90" s="38" t="s">
        <v>40</v>
      </c>
      <c r="F90" s="39"/>
      <c r="J90" s="27"/>
      <c r="K90" s="61"/>
    </row>
    <row r="91" spans="2:13" ht="16.2" customHeight="1" thickBot="1" x14ac:dyDescent="0.35">
      <c r="B91" s="47" t="s">
        <v>78</v>
      </c>
      <c r="C91" s="48" t="s">
        <v>79</v>
      </c>
      <c r="D91" s="69"/>
      <c r="E91" s="69"/>
      <c r="F91" s="49">
        <v>2</v>
      </c>
      <c r="J91" s="27"/>
      <c r="K91" s="61"/>
    </row>
    <row r="92" spans="2:13" ht="16.2" customHeight="1" thickBot="1" x14ac:dyDescent="0.35">
      <c r="E92" s="50" t="s">
        <v>31</v>
      </c>
      <c r="F92" s="51">
        <f>SUM(F91)</f>
        <v>2</v>
      </c>
      <c r="J92" s="27"/>
      <c r="K92" s="61"/>
    </row>
    <row r="93" spans="2:13" x14ac:dyDescent="0.3">
      <c r="J93" s="27"/>
      <c r="K93" s="61"/>
    </row>
    <row r="94" spans="2:13" x14ac:dyDescent="0.3">
      <c r="B94" s="52"/>
      <c r="C94" s="53"/>
      <c r="D94" s="53"/>
      <c r="E94" s="53"/>
      <c r="F94" s="54"/>
      <c r="J94" s="27"/>
      <c r="K94" s="61"/>
    </row>
    <row r="95" spans="2:13" ht="16.2" customHeight="1" thickBot="1" x14ac:dyDescent="0.35">
      <c r="J95" s="27"/>
      <c r="K95" s="61"/>
    </row>
    <row r="96" spans="2:13" ht="18" customHeight="1" thickBot="1" x14ac:dyDescent="0.35">
      <c r="B96" s="104" t="s">
        <v>80</v>
      </c>
      <c r="C96" s="105"/>
      <c r="D96" s="105"/>
      <c r="E96" s="105"/>
      <c r="F96" s="106"/>
      <c r="J96" s="27"/>
      <c r="K96" s="61"/>
    </row>
    <row r="97" spans="2:11" ht="28.2" customHeight="1" thickBot="1" x14ac:dyDescent="0.35">
      <c r="B97" s="32"/>
      <c r="C97" s="33" t="s">
        <v>18</v>
      </c>
      <c r="D97" s="33" t="s">
        <v>19</v>
      </c>
      <c r="E97" s="33" t="s">
        <v>20</v>
      </c>
      <c r="F97" s="34" t="s">
        <v>21</v>
      </c>
      <c r="J97" s="27"/>
      <c r="K97" s="61"/>
    </row>
    <row r="98" spans="2:11" x14ac:dyDescent="0.3">
      <c r="B98" s="118"/>
      <c r="C98" s="97">
        <v>1</v>
      </c>
      <c r="D98" s="37">
        <v>1</v>
      </c>
      <c r="E98" s="38" t="s">
        <v>29</v>
      </c>
      <c r="F98" s="39"/>
      <c r="J98" s="27"/>
      <c r="K98" s="24"/>
    </row>
    <row r="99" spans="2:11" x14ac:dyDescent="0.3">
      <c r="B99" s="115"/>
      <c r="C99" s="78">
        <v>2</v>
      </c>
      <c r="D99" s="79">
        <v>1</v>
      </c>
      <c r="E99" s="80" t="s">
        <v>29</v>
      </c>
      <c r="F99" s="81"/>
      <c r="J99" s="27"/>
      <c r="K99" s="24"/>
    </row>
    <row r="100" spans="2:11" ht="16.2" customHeight="1" thickBot="1" x14ac:dyDescent="0.35">
      <c r="B100" s="119"/>
      <c r="C100" s="99" t="s">
        <v>75</v>
      </c>
      <c r="D100" s="82">
        <v>1</v>
      </c>
      <c r="E100" s="83" t="s">
        <v>40</v>
      </c>
      <c r="F100" s="84"/>
      <c r="J100" s="27"/>
      <c r="K100" s="24"/>
    </row>
    <row r="101" spans="2:11" ht="16.2" customHeight="1" thickBot="1" x14ac:dyDescent="0.35">
      <c r="B101" s="47" t="s">
        <v>81</v>
      </c>
      <c r="C101" s="48" t="s">
        <v>82</v>
      </c>
      <c r="D101" s="69"/>
      <c r="E101" s="69"/>
      <c r="F101" s="49">
        <v>2</v>
      </c>
    </row>
    <row r="102" spans="2:11" ht="16.2" customHeight="1" thickBot="1" x14ac:dyDescent="0.35">
      <c r="E102" s="50" t="s">
        <v>31</v>
      </c>
      <c r="F102" s="51">
        <f>SUM(F101:F101)</f>
        <v>2</v>
      </c>
    </row>
    <row r="104" spans="2:11" x14ac:dyDescent="0.3">
      <c r="B104" s="52"/>
      <c r="C104" s="53"/>
      <c r="D104" s="53"/>
      <c r="E104" s="53"/>
      <c r="F104" s="54"/>
    </row>
  </sheetData>
  <mergeCells count="23">
    <mergeCell ref="B98:B100"/>
    <mergeCell ref="D14:E14"/>
    <mergeCell ref="B41:F41"/>
    <mergeCell ref="E1:F1"/>
    <mergeCell ref="B61:F61"/>
    <mergeCell ref="B1:C1"/>
    <mergeCell ref="B17:F17"/>
    <mergeCell ref="B88:F88"/>
    <mergeCell ref="B69:F69"/>
    <mergeCell ref="E2:F2"/>
    <mergeCell ref="B10:F10"/>
    <mergeCell ref="C8:D8"/>
    <mergeCell ref="B49:F49"/>
    <mergeCell ref="C7:D7"/>
    <mergeCell ref="B79:B82"/>
    <mergeCell ref="D15:E15"/>
    <mergeCell ref="B33:F33"/>
    <mergeCell ref="B4:F4"/>
    <mergeCell ref="C6:D6"/>
    <mergeCell ref="B25:F25"/>
    <mergeCell ref="B96:F96"/>
    <mergeCell ref="B2:C2"/>
    <mergeCell ref="B77:F77"/>
  </mergeCells>
  <pageMargins left="0.70833333333333304" right="0.70833333333333304" top="0.74791666666666701" bottom="0.74791666666666701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H10:I24"/>
  <sheetViews>
    <sheetView topLeftCell="A4" workbookViewId="0">
      <selection activeCell="H11" sqref="H11:I24"/>
    </sheetView>
  </sheetViews>
  <sheetFormatPr defaultRowHeight="15.6" x14ac:dyDescent="0.3"/>
  <sheetData>
    <row r="10" spans="8:9" ht="16.2" customHeight="1" thickBot="1" x14ac:dyDescent="0.35"/>
    <row r="11" spans="8:9" ht="56.4" customHeight="1" thickBot="1" x14ac:dyDescent="0.35">
      <c r="H11" s="35" t="s">
        <v>22</v>
      </c>
      <c r="I11" s="64" t="s">
        <v>23</v>
      </c>
    </row>
    <row r="12" spans="8:9" x14ac:dyDescent="0.3">
      <c r="H12" s="40" t="s">
        <v>25</v>
      </c>
      <c r="I12" s="65" t="s">
        <v>26</v>
      </c>
    </row>
    <row r="13" spans="8:9" x14ac:dyDescent="0.3">
      <c r="H13" s="46" t="s">
        <v>29</v>
      </c>
      <c r="I13" s="66" t="s">
        <v>30</v>
      </c>
    </row>
    <row r="14" spans="8:9" x14ac:dyDescent="0.3">
      <c r="H14" s="46" t="s">
        <v>32</v>
      </c>
      <c r="I14" s="66" t="s">
        <v>14</v>
      </c>
    </row>
    <row r="15" spans="8:9" x14ac:dyDescent="0.3">
      <c r="H15" s="46" t="s">
        <v>33</v>
      </c>
      <c r="I15" s="66" t="s">
        <v>34</v>
      </c>
    </row>
    <row r="16" spans="8:9" x14ac:dyDescent="0.3">
      <c r="H16" s="46" t="s">
        <v>35</v>
      </c>
      <c r="I16" s="66" t="s">
        <v>36</v>
      </c>
    </row>
    <row r="17" spans="8:9" x14ac:dyDescent="0.3">
      <c r="H17" s="46" t="s">
        <v>37</v>
      </c>
      <c r="I17" s="66" t="s">
        <v>38</v>
      </c>
    </row>
    <row r="18" spans="8:9" ht="16.2" customHeight="1" thickBot="1" x14ac:dyDescent="0.35">
      <c r="H18" s="46" t="s">
        <v>40</v>
      </c>
      <c r="I18" s="67" t="s">
        <v>41</v>
      </c>
    </row>
    <row r="19" spans="8:9" x14ac:dyDescent="0.3">
      <c r="H19" s="55" t="s">
        <v>34</v>
      </c>
    </row>
    <row r="20" spans="8:9" x14ac:dyDescent="0.3">
      <c r="H20" s="46" t="s">
        <v>43</v>
      </c>
    </row>
    <row r="21" spans="8:9" x14ac:dyDescent="0.3">
      <c r="H21" s="46" t="s">
        <v>46</v>
      </c>
    </row>
    <row r="22" spans="8:9" x14ac:dyDescent="0.3">
      <c r="H22" s="46" t="s">
        <v>47</v>
      </c>
      <c r="I22" s="4"/>
    </row>
    <row r="23" spans="8:9" x14ac:dyDescent="0.3">
      <c r="H23" s="46" t="s">
        <v>48</v>
      </c>
      <c r="I23" s="4"/>
    </row>
    <row r="24" spans="8:9" ht="16.2" customHeight="1" thickBot="1" x14ac:dyDescent="0.35">
      <c r="H24" s="56" t="s">
        <v>49</v>
      </c>
      <c r="I2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Grobler</dc:creator>
  <cp:lastModifiedBy>Mr. M Osman</cp:lastModifiedBy>
  <cp:revision>42</cp:revision>
  <dcterms:created xsi:type="dcterms:W3CDTF">2018-04-10T11:33:09Z</dcterms:created>
  <dcterms:modified xsi:type="dcterms:W3CDTF">2025-02-16T09:28:53Z</dcterms:modified>
  <dc:language>en-ZA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