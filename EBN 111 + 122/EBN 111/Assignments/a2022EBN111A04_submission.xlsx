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Uni modules\2nd year\Sem 1\EBN 111\AMS assignments (2)\04\"/>
    </mc:Choice>
  </mc:AlternateContent>
  <xr:revisionPtr revIDLastSave="0" documentId="13_ncr:1_{97C6E217-FAC0-4E35-B1CA-C731DC60936F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93" i="1" l="1"/>
  <c r="F83" i="1"/>
  <c r="F71" i="1"/>
  <c r="F63" i="1"/>
  <c r="F55" i="1"/>
  <c r="F47" i="1"/>
  <c r="F38" i="1"/>
  <c r="F29" i="1"/>
  <c r="F21" i="1"/>
</calcChain>
</file>

<file path=xl/sharedStrings.xml><?xml version="1.0" encoding="utf-8"?>
<sst xmlns="http://schemas.openxmlformats.org/spreadsheetml/2006/main" count="157" uniqueCount="88">
  <si>
    <t>2022EBN111A04</t>
  </si>
  <si>
    <t>Student number:</t>
  </si>
  <si>
    <t>21495034</t>
  </si>
  <si>
    <t>18/03/2022 8:00 AM - 22/03/2022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</si>
  <si>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</si>
  <si>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</si>
  <si>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</si>
  <si>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</si>
  <si>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</si>
  <si>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</si>
  <si>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</si>
  <si>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</si>
  <si>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</si>
  <si>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</si>
  <si>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</si>
  <si>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</si>
  <si>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</si>
  <si>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</si>
  <si>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</si>
  <si>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</si>
  <si>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</si>
  <si>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</si>
  <si>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</si>
  <si>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</si>
  <si>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</si>
  <si>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k</t>
  </si>
  <si>
    <t>ohm</t>
  </si>
  <si>
    <t>&amp;Omega;</t>
  </si>
  <si>
    <t>nA</t>
  </si>
  <si>
    <t>01</t>
  </si>
  <si>
    <t>P</t>
  </si>
  <si>
    <t>&amp;mu;A</t>
  </si>
  <si>
    <t>Total</t>
  </si>
  <si>
    <t>s</t>
  </si>
  <si>
    <t>C</t>
  </si>
  <si>
    <t>A</t>
  </si>
  <si>
    <t>J</t>
  </si>
  <si>
    <t>kohm</t>
  </si>
  <si>
    <t>W</t>
  </si>
  <si>
    <t>Mohm</t>
  </si>
  <si>
    <t>Question 2</t>
  </si>
  <si>
    <t>V</t>
  </si>
  <si>
    <t>Gohm</t>
  </si>
  <si>
    <t>V1</t>
  </si>
  <si>
    <t>H</t>
  </si>
  <si>
    <t>02</t>
  </si>
  <si>
    <t>e</t>
  </si>
  <si>
    <t>F</t>
  </si>
  <si>
    <t>rad</t>
  </si>
  <si>
    <t>deg</t>
  </si>
  <si>
    <t>Hz</t>
  </si>
  <si>
    <t>Question 3</t>
  </si>
  <si>
    <t>R</t>
  </si>
  <si>
    <t>V2</t>
  </si>
  <si>
    <t>03</t>
  </si>
  <si>
    <t>i0</t>
  </si>
  <si>
    <t>Question 4</t>
  </si>
  <si>
    <t>04</t>
  </si>
  <si>
    <t>i2</t>
  </si>
  <si>
    <t>Question 5</t>
  </si>
  <si>
    <t>Vx</t>
  </si>
  <si>
    <t>05</t>
  </si>
  <si>
    <t>c</t>
  </si>
  <si>
    <t>Question 6</t>
  </si>
  <si>
    <t>Rv</t>
  </si>
  <si>
    <t>06</t>
  </si>
  <si>
    <t>b</t>
  </si>
  <si>
    <t>Question 7</t>
  </si>
  <si>
    <t>07</t>
  </si>
  <si>
    <t>i1</t>
  </si>
  <si>
    <t>Question 8 to 9</t>
  </si>
  <si>
    <t>beta</t>
  </si>
  <si>
    <t>VBE</t>
  </si>
  <si>
    <t>0.7</t>
  </si>
  <si>
    <t>V0</t>
  </si>
  <si>
    <t>Is</t>
  </si>
  <si>
    <t>08</t>
  </si>
  <si>
    <t>Vs</t>
  </si>
  <si>
    <t>09</t>
  </si>
  <si>
    <t>Question 10</t>
  </si>
  <si>
    <t>10</t>
  </si>
  <si>
    <t>R Reyneke</t>
  </si>
  <si>
    <t>1.2</t>
  </si>
  <si>
    <t>12.21</t>
  </si>
  <si>
    <t>mV</t>
  </si>
  <si>
    <t>3.6</t>
  </si>
  <si>
    <t>6.69</t>
  </si>
  <si>
    <t>12.11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</si>
</sst>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1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20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16" fillId="0" borderId="20" xfId="0" applyFont="1" applyBorder="1" applyAlignment="1">
      <alignment horizontal="center"/>
    </xf>
    <xf numFmtId="49" fontId="18" fillId="0" borderId="17" xfId="0" quotePrefix="1" applyNumberFormat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1" fontId="4" fillId="0" borderId="16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0" fillId="0" borderId="0" xfId="0"/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7" borderId="12" xfId="0" applyFont="1" applyFill="1" applyBorder="1"/>
    <xf numFmtId="0" fontId="9" fillId="0" borderId="15" xfId="0" applyFont="1" applyBorder="1" applyAlignment="1">
      <alignment horizontal="center"/>
    </xf>
    <xf numFmtId="49" fontId="18" fillId="0" borderId="11" xfId="0" quotePrefix="1" applyNumberFormat="1" applyFont="1" applyBorder="1" applyAlignment="1">
      <alignment horizontal="center"/>
    </xf>
    <xf numFmtId="0" fontId="19" fillId="0" borderId="2" xfId="0" applyFont="1" applyBorder="1" applyAlignment="1">
      <alignment horizontal="center" wrapText="1"/>
    </xf>
    <xf numFmtId="0" fontId="20" fillId="0" borderId="20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15" fillId="3" borderId="18" xfId="0" applyFont="1" applyFill="1" applyBorder="1" applyAlignment="1" applyProtection="1">
      <alignment horizontal="center" vertical="center" wrapText="1"/>
      <protection locked="0"/>
    </xf>
    <xf numFmtId="0" fontId="15" fillId="3" borderId="14" xfId="0" applyFont="1" applyFill="1" applyBorder="1" applyAlignment="1" applyProtection="1">
      <alignment horizontal="center" vertical="center" wrapText="1"/>
      <protection locked="0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24" xfId="0" applyFont="1" applyFill="1" applyBorder="1" applyAlignment="1">
      <alignment horizontal="center"/>
    </xf>
    <xf numFmtId="11" fontId="4" fillId="0" borderId="0" xfId="0" applyNumberFormat="1" applyFont="1" applyAlignment="1">
      <alignment horizontal="center" vertical="center" wrapText="1"/>
    </xf>
    <xf numFmtId="49" fontId="18" fillId="0" borderId="25" xfId="0" quotePrefix="1" applyNumberFormat="1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5" fillId="3" borderId="26" xfId="0" applyFont="1" applyFill="1" applyBorder="1" applyAlignment="1" applyProtection="1">
      <alignment horizontal="center" vertical="center" wrapText="1"/>
      <protection locked="0"/>
    </xf>
    <xf numFmtId="0" fontId="9" fillId="0" borderId="27" xfId="0" applyFont="1" applyBorder="1" applyAlignment="1">
      <alignment horizontal="center"/>
    </xf>
    <xf numFmtId="0" fontId="15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9" fillId="6" borderId="24" xfId="0" applyFont="1" applyFill="1" applyBorder="1" applyAlignment="1">
      <alignment horizontal="center"/>
    </xf>
    <xf numFmtId="164" fontId="9" fillId="4" borderId="14" xfId="0" applyNumberFormat="1" applyFont="1" applyFill="1" applyBorder="1" applyAlignment="1">
      <alignment horizontal="center" wrapText="1"/>
    </xf>
    <xf numFmtId="0" fontId="15" fillId="4" borderId="14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wrapText="1"/>
    </xf>
    <xf numFmtId="0" fontId="9" fillId="4" borderId="15" xfId="0" applyFont="1" applyFill="1" applyBorder="1" applyAlignment="1">
      <alignment horizontal="center"/>
    </xf>
    <xf numFmtId="49" fontId="18" fillId="0" borderId="16" xfId="0" quotePrefix="1" applyNumberFormat="1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15" fillId="3" borderId="28" xfId="0" applyFont="1" applyFill="1" applyBorder="1" applyAlignment="1" applyProtection="1">
      <alignment horizontal="center" vertical="center" wrapText="1"/>
      <protection locked="0"/>
    </xf>
    <xf numFmtId="0" fontId="9" fillId="0" borderId="29" xfId="0" applyFont="1" applyBorder="1" applyAlignment="1">
      <alignment horizontal="center"/>
    </xf>
    <xf numFmtId="0" fontId="15" fillId="6" borderId="14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wrapText="1"/>
    </xf>
    <xf numFmtId="0" fontId="9" fillId="6" borderId="15" xfId="0" applyFont="1" applyFill="1" applyBorder="1" applyAlignment="1">
      <alignment horizontal="center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1" xfId="0" applyNumberFormat="1" applyFont="1" applyFill="1" applyBorder="1" applyAlignment="1">
      <alignment horizontal="center" wrapText="1"/>
    </xf>
    <xf numFmtId="6" fontId="9" fillId="6" borderId="14" xfId="0" applyNumberFormat="1" applyFont="1" applyFill="1" applyBorder="1" applyAlignment="1">
      <alignment horizontal="center" wrapText="1"/>
    </xf>
    <xf numFmtId="0" fontId="2" fillId="0" borderId="30" xfId="0" applyFont="1" applyBorder="1" applyAlignment="1">
      <alignment horizontal="center" vertical="center"/>
    </xf>
    <xf numFmtId="0" fontId="0" fillId="0" borderId="23" xfId="0" applyBorder="1"/>
    <xf numFmtId="0" fontId="0" fillId="0" borderId="31" xfId="0" applyBorder="1"/>
    <xf numFmtId="0" fontId="3" fillId="6" borderId="32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6" xfId="0" applyBorder="1"/>
    <xf numFmtId="6" fontId="9" fillId="6" borderId="6" xfId="0" applyNumberFormat="1" applyFont="1" applyFill="1" applyBorder="1" applyAlignment="1">
      <alignment horizontal="center" wrapText="1"/>
    </xf>
    <xf numFmtId="0" fontId="0" fillId="0" borderId="13" xfId="0" applyBorder="1"/>
    <xf numFmtId="0" fontId="0" fillId="0" borderId="26" xfId="0" applyBorder="1"/>
    <xf numFmtId="0" fontId="4" fillId="3" borderId="1" xfId="0" applyFont="1" applyFill="1" applyBorder="1" applyAlignment="1">
      <alignment horizontal="center"/>
    </xf>
    <xf numFmtId="0" fontId="0" fillId="0" borderId="33" xfId="0" applyBorder="1"/>
    <xf numFmtId="165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locked="0"/>
    </xf>
    <xf numFmtId="0" fontId="3" fillId="0" borderId="1" xfId="0" applyFont="1" applyBorder="1" applyAlignment="1">
      <alignment horizontal="center" wrapText="1"/>
    </xf>
    <xf numFmtId="0" fontId="0" fillId="0" borderId="34" xfId="0" applyBorder="1"/>
    <xf numFmtId="0" fontId="2" fillId="0" borderId="1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0" fillId="0" borderId="35" xfId="0" applyBorder="1"/>
    <xf numFmtId="0" fontId="11" fillId="0" borderId="11" xfId="0" applyFont="1" applyBorder="1" applyAlignment="1">
      <alignment horizontal="center"/>
    </xf>
    <xf numFmtId="0" fontId="0" fillId="0" borderId="36" xfId="0" applyBorder="1"/>
    <xf numFmtId="0" fontId="17" fillId="0" borderId="1" xfId="0" applyFont="1" applyBorder="1" applyAlignment="1">
      <alignment horizontal="left" vertical="top"/>
    </xf>
    <xf numFmtId="0" fontId="18" fillId="0" borderId="0" xfId="0" applyFont="1" applyAlignment="1">
      <alignment horizontal="left" vertical="center" wrapText="1"/>
    </xf>
    <xf numFmtId="0" fontId="0" fillId="0" borderId="0" xfId="0"/>
    <xf numFmtId="0" fontId="3" fillId="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95"/>
  <sheetViews>
    <sheetView showGridLines="0" tabSelected="1" topLeftCell="A64" zoomScaleNormal="100" workbookViewId="0">
      <selection activeCell="E82" sqref="E82"/>
    </sheetView>
  </sheetViews>
  <sheetFormatPr defaultColWidth="11.08203125" defaultRowHeight="15.5" x14ac:dyDescent="0.35"/>
  <cols>
    <col min="1" max="1" width="2.4140625" style="46" customWidth="1"/>
    <col min="2" max="2" width="9.58203125" style="46" customWidth="1"/>
    <col min="3" max="3" width="38.9140625" style="46" customWidth="1"/>
    <col min="4" max="4" width="25.9140625" style="46" customWidth="1"/>
    <col min="5" max="5" width="17.58203125" style="46" customWidth="1"/>
    <col min="6" max="6" width="13.5" style="46" customWidth="1"/>
    <col min="7" max="7" width="5.08203125" style="46" customWidth="1"/>
    <col min="8" max="8" width="4.6640625" style="31" customWidth="1"/>
    <col min="9" max="9" width="15.08203125" style="46" customWidth="1"/>
    <col min="10" max="10" width="14.6640625" style="4" customWidth="1"/>
    <col min="11" max="23" width="4.6640625" style="46" customWidth="1"/>
    <col min="24" max="24" width="11.08203125" style="46" customWidth="1"/>
    <col min="25" max="16384" width="11.08203125" style="46"/>
  </cols>
  <sheetData>
    <row r="1" spans="2:13" ht="17.399999999999999" customHeight="1" x14ac:dyDescent="0.35">
      <c r="B1" s="105" t="s">
        <v>0</v>
      </c>
      <c r="C1" s="99"/>
      <c r="D1" s="1" t="s">
        <v>1</v>
      </c>
      <c r="E1" s="98" t="s">
        <v>2</v>
      </c>
      <c r="F1" s="99"/>
      <c r="G1" s="2"/>
      <c r="H1" s="3"/>
      <c r="K1" s="5"/>
      <c r="L1" s="5"/>
      <c r="M1" s="5"/>
    </row>
    <row r="2" spans="2:13" x14ac:dyDescent="0.35">
      <c r="B2" s="100" t="s">
        <v>3</v>
      </c>
      <c r="C2" s="99"/>
      <c r="D2" s="1" t="s">
        <v>4</v>
      </c>
      <c r="E2" s="101" t="s">
        <v>81</v>
      </c>
      <c r="F2" s="102"/>
      <c r="G2" s="6"/>
      <c r="H2" s="3"/>
      <c r="K2" s="5"/>
      <c r="L2" s="5"/>
      <c r="M2" s="5"/>
    </row>
    <row r="3" spans="2:13" x14ac:dyDescent="0.35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5">
      <c r="B4" s="103" t="s">
        <v>5</v>
      </c>
      <c r="C4" s="104"/>
      <c r="D4" s="104"/>
      <c r="E4" s="104"/>
      <c r="F4" s="99"/>
      <c r="G4" s="10"/>
      <c r="H4" s="8"/>
      <c r="J4" s="9"/>
      <c r="K4" s="7"/>
      <c r="L4" s="7"/>
      <c r="M4" s="7"/>
    </row>
    <row r="5" spans="2:13" x14ac:dyDescent="0.35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5">
      <c r="B6" s="13"/>
      <c r="C6" s="110" t="s">
        <v>6</v>
      </c>
      <c r="D6" s="99"/>
      <c r="E6" s="12"/>
      <c r="F6" s="5"/>
      <c r="G6" s="5"/>
      <c r="H6" s="3"/>
      <c r="K6" s="5"/>
      <c r="L6" s="5"/>
      <c r="M6" s="5"/>
    </row>
    <row r="7" spans="2:13" x14ac:dyDescent="0.35">
      <c r="B7" s="14"/>
      <c r="C7" s="110" t="s">
        <v>7</v>
      </c>
      <c r="D7" s="99"/>
      <c r="E7" s="12"/>
      <c r="F7" s="5"/>
      <c r="G7" s="5"/>
      <c r="H7" s="3"/>
      <c r="L7" s="5"/>
      <c r="M7" s="5"/>
    </row>
    <row r="8" spans="2:13" x14ac:dyDescent="0.35">
      <c r="B8" s="15"/>
      <c r="C8" s="110" t="s">
        <v>8</v>
      </c>
      <c r="D8" s="99"/>
      <c r="E8" s="12"/>
      <c r="F8" s="5"/>
      <c r="G8" s="5"/>
      <c r="H8" s="3"/>
      <c r="L8" s="5"/>
      <c r="M8" s="5"/>
    </row>
    <row r="9" spans="2:13" x14ac:dyDescent="0.35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5">
      <c r="B10" s="111" t="s">
        <v>9</v>
      </c>
      <c r="C10" s="112"/>
      <c r="D10" s="112"/>
      <c r="E10" s="112"/>
      <c r="F10" s="112"/>
      <c r="G10" s="5"/>
      <c r="H10" s="3"/>
      <c r="L10" s="5"/>
      <c r="M10" s="5"/>
    </row>
    <row r="11" spans="2:13" x14ac:dyDescent="0.35">
      <c r="B11" s="5"/>
      <c r="C11" s="17" t="s">
        <v>10</v>
      </c>
      <c r="D11" s="18" t="s">
        <v>11</v>
      </c>
      <c r="E11" s="19" t="s">
        <v>12</v>
      </c>
      <c r="F11" s="5"/>
      <c r="G11" s="5"/>
      <c r="H11" s="3"/>
      <c r="L11" s="5"/>
      <c r="M11" s="5"/>
    </row>
    <row r="12" spans="2:13" x14ac:dyDescent="0.35">
      <c r="B12" s="16"/>
      <c r="C12" s="20" t="s">
        <v>13</v>
      </c>
      <c r="D12" s="18" t="s">
        <v>14</v>
      </c>
      <c r="E12" s="19" t="s">
        <v>15</v>
      </c>
      <c r="F12" s="5"/>
      <c r="G12" s="5"/>
      <c r="H12" s="3"/>
      <c r="L12" s="5"/>
      <c r="M12" s="5"/>
    </row>
    <row r="13" spans="2:13" ht="16.25" customHeight="1" thickBot="1" x14ac:dyDescent="0.4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5">
      <c r="B14" s="23"/>
      <c r="C14" s="24"/>
      <c r="D14" s="106" t="s">
        <v>16</v>
      </c>
      <c r="E14" s="107"/>
      <c r="F14" s="25">
        <v>20</v>
      </c>
      <c r="G14" s="24"/>
      <c r="H14" s="26"/>
      <c r="J14" s="27"/>
      <c r="L14" s="24"/>
      <c r="M14" s="24"/>
    </row>
    <row r="15" spans="2:13" ht="21" customHeight="1" thickBot="1" x14ac:dyDescent="0.45">
      <c r="B15" s="23"/>
      <c r="C15" s="24"/>
      <c r="D15" s="108" t="s">
        <v>17</v>
      </c>
      <c r="E15" s="109"/>
      <c r="F15" s="28">
        <v>20</v>
      </c>
      <c r="G15" s="24"/>
      <c r="H15" s="26"/>
      <c r="J15" s="27"/>
    </row>
    <row r="16" spans="2:13" ht="21" customHeight="1" thickBot="1" x14ac:dyDescent="0.45">
      <c r="B16" s="23"/>
      <c r="C16" s="24"/>
      <c r="D16" s="29"/>
      <c r="E16" s="29"/>
      <c r="F16" s="30"/>
      <c r="G16" s="24"/>
      <c r="H16" s="26"/>
      <c r="J16" s="27"/>
    </row>
    <row r="17" spans="2:10" ht="18" customHeight="1" thickBot="1" x14ac:dyDescent="0.4">
      <c r="B17" s="89" t="s">
        <v>18</v>
      </c>
      <c r="C17" s="90"/>
      <c r="D17" s="90"/>
      <c r="E17" s="90"/>
      <c r="F17" s="91"/>
    </row>
    <row r="18" spans="2:10" ht="28.75" customHeight="1" thickBot="1" x14ac:dyDescent="0.4">
      <c r="B18" s="32"/>
      <c r="C18" s="33" t="s">
        <v>19</v>
      </c>
      <c r="D18" s="33" t="s">
        <v>20</v>
      </c>
      <c r="E18" s="33" t="s">
        <v>21</v>
      </c>
      <c r="F18" s="34" t="s">
        <v>22</v>
      </c>
      <c r="I18" s="35" t="s">
        <v>23</v>
      </c>
      <c r="J18" s="57" t="s">
        <v>24</v>
      </c>
    </row>
    <row r="19" spans="2:10" ht="16.25" customHeight="1" thickBot="1" x14ac:dyDescent="0.4">
      <c r="B19" s="36"/>
      <c r="C19" s="86" t="s">
        <v>25</v>
      </c>
      <c r="D19" s="37">
        <v>1</v>
      </c>
      <c r="E19" s="38" t="s">
        <v>26</v>
      </c>
      <c r="F19" s="39"/>
      <c r="I19" s="40" t="s">
        <v>27</v>
      </c>
      <c r="J19" s="58" t="s">
        <v>28</v>
      </c>
    </row>
    <row r="20" spans="2:10" ht="16.25" customHeight="1" thickBot="1" x14ac:dyDescent="0.4">
      <c r="B20" s="41" t="s">
        <v>29</v>
      </c>
      <c r="C20" s="42" t="s">
        <v>30</v>
      </c>
      <c r="D20" s="61" t="s">
        <v>82</v>
      </c>
      <c r="E20" s="54"/>
      <c r="F20" s="43">
        <v>2</v>
      </c>
      <c r="I20" s="50" t="s">
        <v>26</v>
      </c>
      <c r="J20" s="59" t="s">
        <v>31</v>
      </c>
    </row>
    <row r="21" spans="2:10" ht="16.25" customHeight="1" thickBot="1" x14ac:dyDescent="0.4">
      <c r="E21" s="44" t="s">
        <v>32</v>
      </c>
      <c r="F21" s="45">
        <f>SUM(F20)</f>
        <v>2</v>
      </c>
      <c r="I21" s="50" t="s">
        <v>33</v>
      </c>
      <c r="J21" s="59" t="s">
        <v>15</v>
      </c>
    </row>
    <row r="22" spans="2:10" x14ac:dyDescent="0.35">
      <c r="I22" s="50" t="s">
        <v>34</v>
      </c>
      <c r="J22" s="59" t="s">
        <v>35</v>
      </c>
    </row>
    <row r="23" spans="2:10" x14ac:dyDescent="0.35">
      <c r="B23" s="47"/>
      <c r="C23" s="48"/>
      <c r="D23" s="48"/>
      <c r="E23" s="48"/>
      <c r="F23" s="49"/>
      <c r="I23" s="50" t="s">
        <v>36</v>
      </c>
      <c r="J23" s="59" t="s">
        <v>37</v>
      </c>
    </row>
    <row r="24" spans="2:10" ht="16.25" customHeight="1" thickBot="1" x14ac:dyDescent="0.4">
      <c r="I24" s="50" t="s">
        <v>38</v>
      </c>
      <c r="J24" s="59" t="s">
        <v>39</v>
      </c>
    </row>
    <row r="25" spans="2:10" ht="18" customHeight="1" thickBot="1" x14ac:dyDescent="0.4">
      <c r="B25" s="89" t="s">
        <v>40</v>
      </c>
      <c r="C25" s="90"/>
      <c r="D25" s="90"/>
      <c r="E25" s="90"/>
      <c r="F25" s="91"/>
      <c r="I25" s="50" t="s">
        <v>41</v>
      </c>
      <c r="J25" s="60" t="s">
        <v>42</v>
      </c>
    </row>
    <row r="26" spans="2:10" ht="28.25" customHeight="1" thickBot="1" x14ac:dyDescent="0.4">
      <c r="B26" s="32"/>
      <c r="C26" s="33" t="s">
        <v>19</v>
      </c>
      <c r="D26" s="33" t="s">
        <v>20</v>
      </c>
      <c r="E26" s="33" t="s">
        <v>21</v>
      </c>
      <c r="F26" s="34" t="s">
        <v>22</v>
      </c>
      <c r="I26" s="51" t="s">
        <v>35</v>
      </c>
    </row>
    <row r="27" spans="2:10" ht="16.25" customHeight="1" thickBot="1" x14ac:dyDescent="0.4">
      <c r="B27" s="36"/>
      <c r="C27" s="86" t="s">
        <v>43</v>
      </c>
      <c r="D27" s="37">
        <v>12</v>
      </c>
      <c r="E27" s="38" t="s">
        <v>41</v>
      </c>
      <c r="F27" s="39"/>
      <c r="I27" s="50" t="s">
        <v>44</v>
      </c>
    </row>
    <row r="28" spans="2:10" ht="16.25" customHeight="1" thickBot="1" x14ac:dyDescent="0.4">
      <c r="B28" s="41" t="s">
        <v>45</v>
      </c>
      <c r="C28" s="42" t="s">
        <v>46</v>
      </c>
      <c r="D28" s="61">
        <v>-12</v>
      </c>
      <c r="E28" s="54"/>
      <c r="F28" s="43">
        <v>2</v>
      </c>
      <c r="I28" s="50" t="s">
        <v>47</v>
      </c>
    </row>
    <row r="29" spans="2:10" ht="16.25" customHeight="1" thickBot="1" x14ac:dyDescent="0.4">
      <c r="E29" s="44" t="s">
        <v>32</v>
      </c>
      <c r="F29" s="45">
        <f>SUM(F28)</f>
        <v>2</v>
      </c>
      <c r="I29" s="50" t="s">
        <v>48</v>
      </c>
    </row>
    <row r="30" spans="2:10" x14ac:dyDescent="0.35">
      <c r="E30" s="67"/>
      <c r="F30" s="29"/>
      <c r="I30" s="50" t="s">
        <v>49</v>
      </c>
    </row>
    <row r="31" spans="2:10" ht="16.25" customHeight="1" thickBot="1" x14ac:dyDescent="0.4">
      <c r="B31" s="47"/>
      <c r="C31" s="48"/>
      <c r="D31" s="48"/>
      <c r="E31" s="48"/>
      <c r="F31" s="49"/>
      <c r="I31" s="52" t="s">
        <v>50</v>
      </c>
    </row>
    <row r="32" spans="2:10" ht="16.25" customHeight="1" thickBot="1" x14ac:dyDescent="0.4">
      <c r="E32" s="67"/>
      <c r="F32" s="29"/>
    </row>
    <row r="33" spans="2:6" ht="18" customHeight="1" thickBot="1" x14ac:dyDescent="0.4">
      <c r="B33" s="89" t="s">
        <v>51</v>
      </c>
      <c r="C33" s="90"/>
      <c r="D33" s="90"/>
      <c r="E33" s="90"/>
      <c r="F33" s="91"/>
    </row>
    <row r="34" spans="2:6" ht="28.25" customHeight="1" thickBot="1" x14ac:dyDescent="0.4">
      <c r="B34" s="32"/>
      <c r="C34" s="33" t="s">
        <v>19</v>
      </c>
      <c r="D34" s="33" t="s">
        <v>20</v>
      </c>
      <c r="E34" s="33" t="s">
        <v>21</v>
      </c>
      <c r="F34" s="34" t="s">
        <v>22</v>
      </c>
    </row>
    <row r="35" spans="2:6" x14ac:dyDescent="0.35">
      <c r="B35" s="113"/>
      <c r="C35" s="86" t="s">
        <v>52</v>
      </c>
      <c r="D35" s="37">
        <v>9.7000000000000064</v>
      </c>
      <c r="E35" s="38" t="s">
        <v>37</v>
      </c>
      <c r="F35" s="39"/>
    </row>
    <row r="36" spans="2:6" ht="16.25" customHeight="1" thickBot="1" x14ac:dyDescent="0.4">
      <c r="B36" s="93"/>
      <c r="C36" s="63" t="s">
        <v>53</v>
      </c>
      <c r="D36" s="64">
        <v>52</v>
      </c>
      <c r="E36" s="65" t="s">
        <v>41</v>
      </c>
      <c r="F36" s="66"/>
    </row>
    <row r="37" spans="2:6" ht="16.25" customHeight="1" thickBot="1" x14ac:dyDescent="0.4">
      <c r="B37" s="41" t="s">
        <v>54</v>
      </c>
      <c r="C37" s="42" t="s">
        <v>55</v>
      </c>
      <c r="D37" s="61">
        <v>-1</v>
      </c>
      <c r="E37" s="61" t="s">
        <v>15</v>
      </c>
      <c r="F37" s="43">
        <v>2</v>
      </c>
    </row>
    <row r="38" spans="2:6" ht="16.25" customHeight="1" thickBot="1" x14ac:dyDescent="0.4">
      <c r="E38" s="44" t="s">
        <v>32</v>
      </c>
      <c r="F38" s="45">
        <f>SUM(F37:F37)</f>
        <v>2</v>
      </c>
    </row>
    <row r="40" spans="2:6" x14ac:dyDescent="0.35">
      <c r="B40" s="47"/>
      <c r="C40" s="48"/>
      <c r="D40" s="48"/>
      <c r="E40" s="48"/>
      <c r="F40" s="49"/>
    </row>
    <row r="42" spans="2:6" ht="16.25" customHeight="1" thickBot="1" x14ac:dyDescent="0.4"/>
    <row r="43" spans="2:6" ht="18" customHeight="1" thickBot="1" x14ac:dyDescent="0.4">
      <c r="B43" s="89" t="s">
        <v>56</v>
      </c>
      <c r="C43" s="90"/>
      <c r="D43" s="90"/>
      <c r="E43" s="90"/>
      <c r="F43" s="91"/>
    </row>
    <row r="44" spans="2:6" ht="28.25" customHeight="1" thickBot="1" x14ac:dyDescent="0.4">
      <c r="B44" s="32"/>
      <c r="C44" s="33" t="s">
        <v>19</v>
      </c>
      <c r="D44" s="33" t="s">
        <v>20</v>
      </c>
      <c r="E44" s="33" t="s">
        <v>21</v>
      </c>
      <c r="F44" s="34" t="s">
        <v>22</v>
      </c>
    </row>
    <row r="45" spans="2:6" ht="16.25" customHeight="1" thickBot="1" x14ac:dyDescent="0.4">
      <c r="B45" s="36"/>
      <c r="C45" s="86" t="s">
        <v>25</v>
      </c>
      <c r="D45" s="37">
        <v>13</v>
      </c>
      <c r="E45" s="38" t="s">
        <v>35</v>
      </c>
      <c r="F45" s="39"/>
    </row>
    <row r="46" spans="2:6" ht="16.25" customHeight="1" thickBot="1" x14ac:dyDescent="0.4">
      <c r="B46" s="41" t="s">
        <v>57</v>
      </c>
      <c r="C46" s="42" t="s">
        <v>58</v>
      </c>
      <c r="D46" s="61" t="s">
        <v>83</v>
      </c>
      <c r="E46" s="61" t="s">
        <v>35</v>
      </c>
      <c r="F46" s="43">
        <v>2</v>
      </c>
    </row>
    <row r="47" spans="2:6" ht="16.25" customHeight="1" thickBot="1" x14ac:dyDescent="0.4">
      <c r="E47" s="44" t="s">
        <v>32</v>
      </c>
      <c r="F47" s="45">
        <f>SUM(F46)</f>
        <v>2</v>
      </c>
    </row>
    <row r="49" spans="2:6" x14ac:dyDescent="0.35">
      <c r="B49" s="47"/>
      <c r="C49" s="48"/>
      <c r="D49" s="48"/>
      <c r="E49" s="48"/>
      <c r="F49" s="49"/>
    </row>
    <row r="50" spans="2:6" ht="16.25" customHeight="1" thickBot="1" x14ac:dyDescent="0.4"/>
    <row r="51" spans="2:6" ht="18" customHeight="1" thickBot="1" x14ac:dyDescent="0.4">
      <c r="B51" s="89" t="s">
        <v>59</v>
      </c>
      <c r="C51" s="90"/>
      <c r="D51" s="90"/>
      <c r="E51" s="90"/>
      <c r="F51" s="91"/>
    </row>
    <row r="52" spans="2:6" ht="28.25" customHeight="1" thickBot="1" x14ac:dyDescent="0.4">
      <c r="B52" s="32"/>
      <c r="C52" s="33" t="s">
        <v>19</v>
      </c>
      <c r="D52" s="33" t="s">
        <v>20</v>
      </c>
      <c r="E52" s="33" t="s">
        <v>21</v>
      </c>
      <c r="F52" s="34" t="s">
        <v>22</v>
      </c>
    </row>
    <row r="53" spans="2:6" ht="16.25" customHeight="1" thickBot="1" x14ac:dyDescent="0.4">
      <c r="B53" s="36"/>
      <c r="C53" s="86" t="s">
        <v>60</v>
      </c>
      <c r="D53" s="37">
        <v>9</v>
      </c>
      <c r="E53" s="38" t="s">
        <v>41</v>
      </c>
      <c r="F53" s="39"/>
    </row>
    <row r="54" spans="2:6" ht="16.25" customHeight="1" thickBot="1" x14ac:dyDescent="0.4">
      <c r="B54" s="41" t="s">
        <v>61</v>
      </c>
      <c r="C54" s="42" t="s">
        <v>62</v>
      </c>
      <c r="D54" s="61">
        <v>-9</v>
      </c>
      <c r="E54" s="61" t="s">
        <v>84</v>
      </c>
      <c r="F54" s="43">
        <v>2</v>
      </c>
    </row>
    <row r="55" spans="2:6" ht="16.25" customHeight="1" thickBot="1" x14ac:dyDescent="0.4">
      <c r="E55" s="44" t="s">
        <v>32</v>
      </c>
      <c r="F55" s="45">
        <f>SUM(F54)</f>
        <v>2</v>
      </c>
    </row>
    <row r="57" spans="2:6" x14ac:dyDescent="0.35">
      <c r="B57" s="47"/>
      <c r="C57" s="48"/>
      <c r="D57" s="48"/>
      <c r="E57" s="48"/>
      <c r="F57" s="49"/>
    </row>
    <row r="58" spans="2:6" ht="16.25" customHeight="1" thickBot="1" x14ac:dyDescent="0.4"/>
    <row r="59" spans="2:6" ht="18" customHeight="1" thickBot="1" x14ac:dyDescent="0.4">
      <c r="B59" s="89" t="s">
        <v>63</v>
      </c>
      <c r="C59" s="90"/>
      <c r="D59" s="90"/>
      <c r="E59" s="90"/>
      <c r="F59" s="91"/>
    </row>
    <row r="60" spans="2:6" ht="28.25" customHeight="1" thickBot="1" x14ac:dyDescent="0.4">
      <c r="B60" s="32"/>
      <c r="C60" s="33" t="s">
        <v>19</v>
      </c>
      <c r="D60" s="33" t="s">
        <v>20</v>
      </c>
      <c r="E60" s="33" t="s">
        <v>21</v>
      </c>
      <c r="F60" s="34" t="s">
        <v>22</v>
      </c>
    </row>
    <row r="61" spans="2:6" ht="16.25" customHeight="1" thickBot="1" x14ac:dyDescent="0.4">
      <c r="B61" s="36"/>
      <c r="C61" s="86" t="s">
        <v>64</v>
      </c>
      <c r="D61" s="37">
        <v>14</v>
      </c>
      <c r="E61" s="38" t="s">
        <v>26</v>
      </c>
      <c r="F61" s="39"/>
    </row>
    <row r="62" spans="2:6" ht="16.25" customHeight="1" thickBot="1" x14ac:dyDescent="0.4">
      <c r="B62" s="41" t="s">
        <v>65</v>
      </c>
      <c r="C62" s="42" t="s">
        <v>66</v>
      </c>
      <c r="D62" s="61">
        <v>-33</v>
      </c>
      <c r="E62" s="61" t="s">
        <v>41</v>
      </c>
      <c r="F62" s="43">
        <v>2</v>
      </c>
    </row>
    <row r="63" spans="2:6" ht="16.25" customHeight="1" thickBot="1" x14ac:dyDescent="0.4">
      <c r="E63" s="44" t="s">
        <v>32</v>
      </c>
      <c r="F63" s="45">
        <f>SUM(F62)</f>
        <v>2</v>
      </c>
    </row>
    <row r="65" spans="2:6" x14ac:dyDescent="0.35">
      <c r="B65" s="47"/>
      <c r="C65" s="48"/>
      <c r="D65" s="48"/>
      <c r="E65" s="48"/>
      <c r="F65" s="49"/>
    </row>
    <row r="66" spans="2:6" ht="16.25" customHeight="1" thickBot="1" x14ac:dyDescent="0.4"/>
    <row r="67" spans="2:6" ht="18" customHeight="1" thickBot="1" x14ac:dyDescent="0.4">
      <c r="B67" s="89" t="s">
        <v>67</v>
      </c>
      <c r="C67" s="90"/>
      <c r="D67" s="90"/>
      <c r="E67" s="90"/>
      <c r="F67" s="91"/>
    </row>
    <row r="68" spans="2:6" ht="28.25" customHeight="1" thickBot="1" x14ac:dyDescent="0.4">
      <c r="B68" s="32"/>
      <c r="C68" s="33" t="s">
        <v>19</v>
      </c>
      <c r="D68" s="33" t="s">
        <v>20</v>
      </c>
      <c r="E68" s="33" t="s">
        <v>21</v>
      </c>
      <c r="F68" s="34" t="s">
        <v>22</v>
      </c>
    </row>
    <row r="69" spans="2:6" ht="16.25" customHeight="1" thickBot="1" x14ac:dyDescent="0.4">
      <c r="B69" s="36"/>
      <c r="C69" s="86" t="s">
        <v>41</v>
      </c>
      <c r="D69" s="37">
        <v>18</v>
      </c>
      <c r="E69" s="38" t="s">
        <v>41</v>
      </c>
      <c r="F69" s="39"/>
    </row>
    <row r="70" spans="2:6" ht="16.25" customHeight="1" thickBot="1" x14ac:dyDescent="0.4">
      <c r="B70" s="41" t="s">
        <v>68</v>
      </c>
      <c r="C70" s="42" t="s">
        <v>69</v>
      </c>
      <c r="D70" s="61" t="s">
        <v>85</v>
      </c>
      <c r="E70" s="61" t="s">
        <v>35</v>
      </c>
      <c r="F70" s="43">
        <v>2</v>
      </c>
    </row>
    <row r="71" spans="2:6" ht="16.25" customHeight="1" thickBot="1" x14ac:dyDescent="0.4">
      <c r="E71" s="44" t="s">
        <v>32</v>
      </c>
      <c r="F71" s="45">
        <f>SUM(F70)</f>
        <v>2</v>
      </c>
    </row>
    <row r="73" spans="2:6" x14ac:dyDescent="0.35">
      <c r="B73" s="47"/>
      <c r="C73" s="48"/>
      <c r="D73" s="48"/>
      <c r="E73" s="48"/>
      <c r="F73" s="49"/>
    </row>
    <row r="74" spans="2:6" ht="16.25" customHeight="1" thickBot="1" x14ac:dyDescent="0.4"/>
    <row r="75" spans="2:6" ht="18" customHeight="1" thickBot="1" x14ac:dyDescent="0.4">
      <c r="B75" s="89" t="s">
        <v>70</v>
      </c>
      <c r="C75" s="90"/>
      <c r="D75" s="90"/>
      <c r="E75" s="90"/>
      <c r="F75" s="91"/>
    </row>
    <row r="76" spans="2:6" ht="28.25" customHeight="1" thickBot="1" x14ac:dyDescent="0.4">
      <c r="B76" s="32"/>
      <c r="C76" s="33" t="s">
        <v>19</v>
      </c>
      <c r="D76" s="33" t="s">
        <v>20</v>
      </c>
      <c r="E76" s="33" t="s">
        <v>21</v>
      </c>
      <c r="F76" s="34" t="s">
        <v>22</v>
      </c>
    </row>
    <row r="77" spans="2:6" x14ac:dyDescent="0.35">
      <c r="B77" s="92"/>
      <c r="C77" s="86" t="s">
        <v>71</v>
      </c>
      <c r="D77" s="37">
        <v>100</v>
      </c>
      <c r="E77" s="38"/>
      <c r="F77" s="39"/>
    </row>
    <row r="78" spans="2:6" x14ac:dyDescent="0.35">
      <c r="B78" s="93"/>
      <c r="C78" s="63" t="s">
        <v>72</v>
      </c>
      <c r="D78" s="64" t="s">
        <v>73</v>
      </c>
      <c r="E78" s="65" t="s">
        <v>41</v>
      </c>
      <c r="F78" s="66"/>
    </row>
    <row r="79" spans="2:6" x14ac:dyDescent="0.35">
      <c r="B79" s="93"/>
      <c r="C79" s="87" t="s">
        <v>74</v>
      </c>
      <c r="D79" s="72">
        <v>5</v>
      </c>
      <c r="E79" s="73" t="s">
        <v>41</v>
      </c>
      <c r="F79" s="74"/>
    </row>
    <row r="80" spans="2:6" ht="16.25" customHeight="1" thickBot="1" x14ac:dyDescent="0.4">
      <c r="B80" s="94"/>
      <c r="C80" s="75" t="s">
        <v>75</v>
      </c>
      <c r="D80" s="76">
        <v>0.1</v>
      </c>
      <c r="E80" s="77" t="s">
        <v>15</v>
      </c>
      <c r="F80" s="78"/>
    </row>
    <row r="81" spans="2:6" x14ac:dyDescent="0.35">
      <c r="B81" s="68" t="s">
        <v>76</v>
      </c>
      <c r="C81" s="69" t="s">
        <v>77</v>
      </c>
      <c r="D81" s="70" t="s">
        <v>86</v>
      </c>
      <c r="E81" s="70" t="s">
        <v>41</v>
      </c>
      <c r="F81" s="71">
        <v>2</v>
      </c>
    </row>
    <row r="82" spans="2:6" ht="16.25" customHeight="1" thickBot="1" x14ac:dyDescent="0.4">
      <c r="B82" s="56" t="s">
        <v>78</v>
      </c>
      <c r="C82" s="53" t="s">
        <v>74</v>
      </c>
      <c r="D82" s="62" t="s">
        <v>87</v>
      </c>
      <c r="E82" s="62" t="s">
        <v>41</v>
      </c>
      <c r="F82" s="55">
        <v>2</v>
      </c>
    </row>
    <row r="83" spans="2:6" ht="16.25" customHeight="1" thickBot="1" x14ac:dyDescent="0.4">
      <c r="E83" s="44" t="s">
        <v>32</v>
      </c>
      <c r="F83" s="45">
        <f>SUM(F81:F82)</f>
        <v>4</v>
      </c>
    </row>
    <row r="85" spans="2:6" x14ac:dyDescent="0.35">
      <c r="B85" s="47"/>
      <c r="C85" s="48"/>
      <c r="D85" s="48"/>
      <c r="E85" s="48"/>
      <c r="F85" s="49"/>
    </row>
    <row r="86" spans="2:6" ht="16.25" customHeight="1" thickBot="1" x14ac:dyDescent="0.4"/>
    <row r="87" spans="2:6" ht="18" customHeight="1" thickBot="1" x14ac:dyDescent="0.4">
      <c r="B87" s="89" t="s">
        <v>79</v>
      </c>
      <c r="C87" s="90"/>
      <c r="D87" s="90"/>
      <c r="E87" s="90"/>
      <c r="F87" s="91"/>
    </row>
    <row r="88" spans="2:6" ht="28.25" customHeight="1" thickBot="1" x14ac:dyDescent="0.4">
      <c r="B88" s="32"/>
      <c r="C88" s="33" t="s">
        <v>19</v>
      </c>
      <c r="D88" s="33" t="s">
        <v>20</v>
      </c>
      <c r="E88" s="33" t="s">
        <v>21</v>
      </c>
      <c r="F88" s="34" t="s">
        <v>22</v>
      </c>
    </row>
    <row r="89" spans="2:6" x14ac:dyDescent="0.35">
      <c r="B89" s="95"/>
      <c r="C89" s="86" t="s">
        <v>71</v>
      </c>
      <c r="D89" s="37">
        <v>100</v>
      </c>
      <c r="E89" s="38"/>
      <c r="F89" s="39"/>
    </row>
    <row r="90" spans="2:6" x14ac:dyDescent="0.35">
      <c r="B90" s="96"/>
      <c r="C90" s="63" t="s">
        <v>72</v>
      </c>
      <c r="D90" s="64" t="s">
        <v>73</v>
      </c>
      <c r="E90" s="65" t="s">
        <v>41</v>
      </c>
      <c r="F90" s="66"/>
    </row>
    <row r="91" spans="2:6" ht="16.25" customHeight="1" thickBot="1" x14ac:dyDescent="0.4">
      <c r="B91" s="97"/>
      <c r="C91" s="88" t="s">
        <v>77</v>
      </c>
      <c r="D91" s="83">
        <v>11</v>
      </c>
      <c r="E91" s="84" t="s">
        <v>41</v>
      </c>
      <c r="F91" s="85"/>
    </row>
    <row r="92" spans="2:6" ht="16.25" customHeight="1" thickBot="1" x14ac:dyDescent="0.4">
      <c r="B92" s="79" t="s">
        <v>80</v>
      </c>
      <c r="C92" s="80" t="s">
        <v>74</v>
      </c>
      <c r="D92" s="81"/>
      <c r="E92" s="81"/>
      <c r="F92" s="82">
        <v>2</v>
      </c>
    </row>
    <row r="93" spans="2:6" ht="16.25" customHeight="1" thickBot="1" x14ac:dyDescent="0.4">
      <c r="E93" s="44" t="s">
        <v>32</v>
      </c>
      <c r="F93" s="45">
        <f>SUM(F92)</f>
        <v>2</v>
      </c>
    </row>
    <row r="95" spans="2:6" x14ac:dyDescent="0.35">
      <c r="B95" s="47"/>
      <c r="C95" s="48"/>
      <c r="D95" s="48"/>
      <c r="E95" s="48"/>
      <c r="F95" s="49"/>
    </row>
  </sheetData>
  <mergeCells count="23">
    <mergeCell ref="B59:F59"/>
    <mergeCell ref="B67:F67"/>
    <mergeCell ref="B25:F25"/>
    <mergeCell ref="B43:F43"/>
    <mergeCell ref="B33:F33"/>
    <mergeCell ref="B35:B36"/>
    <mergeCell ref="B51:F51"/>
    <mergeCell ref="B87:F87"/>
    <mergeCell ref="B77:B80"/>
    <mergeCell ref="B89:B91"/>
    <mergeCell ref="E1:F1"/>
    <mergeCell ref="B2:C2"/>
    <mergeCell ref="E2:F2"/>
    <mergeCell ref="B4:F4"/>
    <mergeCell ref="B1:C1"/>
    <mergeCell ref="D14:E14"/>
    <mergeCell ref="D15:E15"/>
    <mergeCell ref="C6:D6"/>
    <mergeCell ref="C7:D7"/>
    <mergeCell ref="C8:D8"/>
    <mergeCell ref="B10:F10"/>
    <mergeCell ref="B75:F75"/>
    <mergeCell ref="B17:F17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2022-03-15T15:43:43Z</dcterms:modified>
  <dc:language>en-ZA</dc:language>
</cp:coreProperties>
</file>