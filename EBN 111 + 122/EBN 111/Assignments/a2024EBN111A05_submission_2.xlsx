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ngment 5\"/>
    </mc:Choice>
  </mc:AlternateContent>
  <xr:revisionPtr revIDLastSave="0" documentId="13_ncr:1_{314C7144-C980-4D02-8DB1-24B4C125B194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26" i="1"/>
</calcChain>
</file>

<file path=xl/sharedStrings.xml><?xml version="1.0" encoding="utf-8"?>
<sst xmlns="http://schemas.openxmlformats.org/spreadsheetml/2006/main" count="146" uniqueCount="75">
  <si>
    <t>2024EBN111A05</t>
  </si>
  <si>
    <t>Student number:</t>
  </si>
  <si>
    <t>03/04/2024 8:00 AM - 15/04/2024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</si>
  <si>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</si>
  <si>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</si>
  <si>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</si>
  <si>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</si>
  <si>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</si>
  <si>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</si>
  <si>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</si>
  <si>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</si>
  <si>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</si>
  <si>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</si>
  <si>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</si>
  <si>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</si>
  <si>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</si>
  <si>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</si>
  <si>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</si>
  <si>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</si>
  <si>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</si>
  <si>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</si>
  <si>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</si>
  <si>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</si>
  <si>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</si>
  <si>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ohm</t>
  </si>
  <si>
    <t>&amp;Omega;</t>
  </si>
  <si>
    <t>nA</t>
  </si>
  <si>
    <t>&amp;mu;A</t>
  </si>
  <si>
    <t>s</t>
  </si>
  <si>
    <t>C</t>
  </si>
  <si>
    <t>A</t>
  </si>
  <si>
    <t>01</t>
  </si>
  <si>
    <t>I0/Is</t>
  </si>
  <si>
    <t>J</t>
  </si>
  <si>
    <t>kohm</t>
  </si>
  <si>
    <t>Total</t>
  </si>
  <si>
    <t>W</t>
  </si>
  <si>
    <t>Mohm</t>
  </si>
  <si>
    <t>V</t>
  </si>
  <si>
    <t>Gohm</t>
  </si>
  <si>
    <t>H</t>
  </si>
  <si>
    <t>Question 2 to 3</t>
  </si>
  <si>
    <t>F</t>
  </si>
  <si>
    <t>rad</t>
  </si>
  <si>
    <t>deg</t>
  </si>
  <si>
    <t>Hz</t>
  </si>
  <si>
    <t>v1</t>
  </si>
  <si>
    <t>i1</t>
  </si>
  <si>
    <t>06</t>
  </si>
  <si>
    <t>Vx(i1)</t>
  </si>
  <si>
    <t>07</t>
  </si>
  <si>
    <t>Vx(v1)</t>
  </si>
  <si>
    <t>Question 4</t>
  </si>
  <si>
    <t>Vx</t>
  </si>
  <si>
    <t>04</t>
  </si>
  <si>
    <t>V2</t>
  </si>
  <si>
    <t>Question 5</t>
  </si>
  <si>
    <t>i2</t>
  </si>
  <si>
    <t>05</t>
  </si>
  <si>
    <t>VTH</t>
  </si>
  <si>
    <t xml:space="preserve">Question 6 </t>
  </si>
  <si>
    <t>Question 7 to 8</t>
  </si>
  <si>
    <t>IN</t>
  </si>
  <si>
    <t>08</t>
  </si>
  <si>
    <t>RN</t>
  </si>
  <si>
    <t>Question 9 to 10</t>
  </si>
  <si>
    <t>09</t>
  </si>
  <si>
    <t>10</t>
  </si>
  <si>
    <t>RTH</t>
  </si>
  <si>
    <t>0.1604938272</t>
  </si>
  <si>
    <t>0.0309375</t>
  </si>
  <si>
    <t>-1</t>
  </si>
  <si>
    <t>-1.4875</t>
  </si>
  <si>
    <t>1.88333</t>
  </si>
  <si>
    <t>-1.35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</si>
</sst>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0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2" xfId="0" applyNumberFormat="1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49" fontId="19" fillId="0" borderId="17" xfId="0" quotePrefix="1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1" fontId="4" fillId="0" borderId="16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18" xfId="0" applyFont="1" applyFill="1" applyBorder="1" applyAlignment="1" applyProtection="1">
      <alignment horizontal="center" vertical="center" wrapText="1"/>
      <protection locked="0"/>
    </xf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4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wrapText="1"/>
    </xf>
    <xf numFmtId="0" fontId="9" fillId="6" borderId="15" xfId="0" applyFont="1" applyFill="1" applyBorder="1" applyAlignment="1">
      <alignment horizontal="center"/>
    </xf>
    <xf numFmtId="49" fontId="19" fillId="0" borderId="16" xfId="0" quotePrefix="1" applyNumberFormat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5" fillId="3" borderId="25" xfId="0" applyFont="1" applyFill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24" xfId="0" applyFont="1" applyFill="1" applyBorder="1" applyAlignment="1">
      <alignment horizontal="center"/>
    </xf>
    <xf numFmtId="164" fontId="9" fillId="4" borderId="14" xfId="0" applyNumberFormat="1" applyFont="1" applyFill="1" applyBorder="1" applyAlignment="1">
      <alignment horizontal="center" wrapText="1"/>
    </xf>
    <xf numFmtId="0" fontId="15" fillId="4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wrapText="1"/>
    </xf>
    <xf numFmtId="0" fontId="9" fillId="6" borderId="19" xfId="0" applyFont="1" applyFill="1" applyBorder="1" applyAlignment="1">
      <alignment horizontal="center"/>
    </xf>
    <xf numFmtId="0" fontId="22" fillId="0" borderId="29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17" fillId="0" borderId="0" xfId="0" applyFont="1" applyAlignment="1">
      <alignment horizontal="center" vertical="center"/>
    </xf>
    <xf numFmtId="164" fontId="9" fillId="4" borderId="27" xfId="0" applyNumberFormat="1" applyFont="1" applyFill="1" applyBorder="1" applyAlignment="1">
      <alignment horizontal="center" wrapText="1"/>
    </xf>
    <xf numFmtId="0" fontId="15" fillId="4" borderId="27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wrapText="1"/>
    </xf>
    <xf numFmtId="0" fontId="9" fillId="4" borderId="28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" xfId="0" applyNumberFormat="1" applyFont="1" applyFill="1" applyBorder="1" applyAlignment="1">
      <alignment horizontal="center" wrapText="1"/>
    </xf>
    <xf numFmtId="6" fontId="9" fillId="6" borderId="18" xfId="0" applyNumberFormat="1" applyFont="1" applyFill="1" applyBorder="1" applyAlignment="1">
      <alignment horizontal="center" wrapText="1"/>
    </xf>
    <xf numFmtId="6" fontId="9" fillId="6" borderId="14" xfId="0" applyNumberFormat="1" applyFont="1" applyFill="1" applyBorder="1" applyAlignment="1">
      <alignment horizontal="center" wrapText="1"/>
    </xf>
    <xf numFmtId="0" fontId="15" fillId="3" borderId="25" xfId="0" quotePrefix="1" applyFont="1" applyFill="1" applyBorder="1" applyAlignment="1" applyProtection="1">
      <alignment horizontal="center" vertical="center" wrapText="1"/>
      <protection locked="0"/>
    </xf>
    <xf numFmtId="0" fontId="15" fillId="3" borderId="18" xfId="0" quotePrefix="1" applyFont="1" applyFill="1" applyBorder="1" applyAlignment="1" applyProtection="1">
      <alignment horizontal="center" vertical="center" wrapText="1"/>
      <protection locked="0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15" fillId="3" borderId="14" xfId="0" quotePrefix="1" applyFont="1" applyFill="1" applyBorder="1" applyAlignment="1" applyProtection="1">
      <alignment horizontal="center" vertical="center" wrapText="1"/>
      <protection locked="0"/>
    </xf>
    <xf numFmtId="165" fontId="3" fillId="0" borderId="1" xfId="0" applyNumberFormat="1" applyFont="1" applyBorder="1" applyAlignment="1">
      <alignment horizontal="left"/>
    </xf>
    <xf numFmtId="0" fontId="0" fillId="0" borderId="33" xfId="0" applyBorder="1"/>
    <xf numFmtId="0" fontId="4" fillId="3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2" fillId="0" borderId="31" xfId="0" applyFont="1" applyBorder="1" applyAlignment="1">
      <alignment horizontal="center" vertical="center"/>
    </xf>
    <xf numFmtId="0" fontId="0" fillId="0" borderId="23" xfId="0" applyBorder="1"/>
    <xf numFmtId="0" fontId="0" fillId="0" borderId="32" xfId="0" applyBorder="1"/>
    <xf numFmtId="0" fontId="18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wrapText="1"/>
    </xf>
    <xf numFmtId="0" fontId="0" fillId="0" borderId="34" xfId="0" applyBorder="1"/>
    <xf numFmtId="0" fontId="3" fillId="6" borderId="37" xfId="0" applyFont="1" applyFill="1" applyBorder="1" applyAlignment="1">
      <alignment horizontal="center" vertical="center" wrapText="1"/>
    </xf>
    <xf numFmtId="0" fontId="0" fillId="0" borderId="16" xfId="0" applyBorder="1"/>
    <xf numFmtId="0" fontId="11" fillId="0" borderId="11" xfId="0" applyFont="1" applyBorder="1" applyAlignment="1">
      <alignment horizontal="center"/>
    </xf>
    <xf numFmtId="0" fontId="0" fillId="0" borderId="36" xfId="0" applyBorder="1"/>
    <xf numFmtId="0" fontId="11" fillId="0" borderId="9" xfId="0" applyFont="1" applyBorder="1" applyAlignment="1">
      <alignment horizontal="center"/>
    </xf>
    <xf numFmtId="0" fontId="0" fillId="0" borderId="3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36"/>
  <sheetViews>
    <sheetView showGridLines="0" tabSelected="1" zoomScaleNormal="100" workbookViewId="0">
      <selection activeCell="E2" sqref="E1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69921875" style="4" customWidth="1"/>
    <col min="11" max="23" width="4.69921875" customWidth="1"/>
  </cols>
  <sheetData>
    <row r="1" spans="2:13" ht="17.399999999999999" customHeight="1" x14ac:dyDescent="0.3">
      <c r="B1" s="116" t="s">
        <v>0</v>
      </c>
      <c r="C1" s="112"/>
      <c r="D1" s="1" t="s">
        <v>1</v>
      </c>
      <c r="E1" s="113"/>
      <c r="F1" s="112"/>
      <c r="G1" s="2"/>
      <c r="H1" s="3"/>
      <c r="K1" s="5"/>
      <c r="L1" s="5"/>
      <c r="M1" s="5"/>
    </row>
    <row r="2" spans="2:13" x14ac:dyDescent="0.3">
      <c r="B2" s="111" t="s">
        <v>2</v>
      </c>
      <c r="C2" s="112"/>
      <c r="D2" s="1" t="s">
        <v>3</v>
      </c>
      <c r="E2" s="117"/>
      <c r="F2" s="118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25" t="s">
        <v>4</v>
      </c>
      <c r="C4" s="126"/>
      <c r="D4" s="126"/>
      <c r="E4" s="126"/>
      <c r="F4" s="112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24" t="s">
        <v>5</v>
      </c>
      <c r="D6" s="112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24" t="s">
        <v>6</v>
      </c>
      <c r="D7" s="112"/>
      <c r="E7" s="12"/>
      <c r="F7" s="5"/>
      <c r="G7" s="5"/>
      <c r="H7" s="3"/>
      <c r="L7" s="5"/>
      <c r="M7" s="5"/>
    </row>
    <row r="8" spans="2:13" x14ac:dyDescent="0.3">
      <c r="B8" s="15"/>
      <c r="C8" s="124" t="s">
        <v>7</v>
      </c>
      <c r="D8" s="112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19" t="s">
        <v>8</v>
      </c>
      <c r="C10" s="120"/>
      <c r="D10" s="120"/>
      <c r="E10" s="120"/>
      <c r="F10" s="120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31" t="s">
        <v>15</v>
      </c>
      <c r="E14" s="132"/>
      <c r="F14" s="25">
        <v>19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29" t="s">
        <v>16</v>
      </c>
      <c r="E15" s="130"/>
      <c r="F15" s="28">
        <v>19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26"/>
      <c r="J16" s="27"/>
    </row>
    <row r="17" spans="2:10" x14ac:dyDescent="0.3">
      <c r="B17" s="52"/>
      <c r="C17" s="53"/>
      <c r="D17" s="53"/>
      <c r="E17" s="53"/>
      <c r="F17" s="54"/>
      <c r="G17" s="24"/>
      <c r="H17" s="26"/>
      <c r="J17" s="27"/>
    </row>
    <row r="18" spans="2:10" ht="21" customHeight="1" thickBot="1" x14ac:dyDescent="0.4">
      <c r="B18" s="23"/>
      <c r="C18" s="24"/>
      <c r="D18" s="29"/>
      <c r="E18" s="29"/>
      <c r="F18" s="30"/>
      <c r="G18" s="24"/>
      <c r="H18" s="26"/>
      <c r="J18" s="27"/>
    </row>
    <row r="19" spans="2:10" ht="18" customHeight="1" thickBot="1" x14ac:dyDescent="0.35">
      <c r="B19" s="121" t="s">
        <v>17</v>
      </c>
      <c r="C19" s="122"/>
      <c r="D19" s="122"/>
      <c r="E19" s="122"/>
      <c r="F19" s="123"/>
      <c r="G19" s="24"/>
      <c r="H19" s="26"/>
      <c r="J19" s="27"/>
    </row>
    <row r="20" spans="2:10" ht="28.8" customHeight="1" thickBot="1" x14ac:dyDescent="0.35">
      <c r="B20" s="32"/>
      <c r="C20" s="33" t="s">
        <v>18</v>
      </c>
      <c r="D20" s="33" t="s">
        <v>19</v>
      </c>
      <c r="E20" s="33" t="s">
        <v>20</v>
      </c>
      <c r="F20" s="34" t="s">
        <v>21</v>
      </c>
      <c r="G20" s="24"/>
      <c r="H20" s="26"/>
      <c r="I20" s="35" t="s">
        <v>22</v>
      </c>
      <c r="J20" s="62" t="s">
        <v>23</v>
      </c>
    </row>
    <row r="21" spans="2:10" x14ac:dyDescent="0.3">
      <c r="B21" s="127"/>
      <c r="C21" s="103">
        <v>1</v>
      </c>
      <c r="D21" s="37">
        <v>1</v>
      </c>
      <c r="E21" s="38" t="s">
        <v>24</v>
      </c>
      <c r="F21" s="39"/>
      <c r="G21" s="24"/>
      <c r="H21" s="26"/>
      <c r="I21" s="40" t="s">
        <v>25</v>
      </c>
      <c r="J21" s="63" t="s">
        <v>26</v>
      </c>
    </row>
    <row r="22" spans="2:10" x14ac:dyDescent="0.3">
      <c r="B22" s="115"/>
      <c r="C22" s="72">
        <v>2</v>
      </c>
      <c r="D22" s="73">
        <v>1</v>
      </c>
      <c r="E22" s="74" t="s">
        <v>24</v>
      </c>
      <c r="F22" s="75"/>
      <c r="G22" s="24"/>
      <c r="H22" s="26"/>
      <c r="I22" s="46" t="s">
        <v>24</v>
      </c>
      <c r="J22" s="64" t="s">
        <v>27</v>
      </c>
    </row>
    <row r="23" spans="2:10" x14ac:dyDescent="0.3">
      <c r="B23" s="115"/>
      <c r="C23" s="104">
        <v>3</v>
      </c>
      <c r="D23" s="83">
        <v>13</v>
      </c>
      <c r="E23" s="84" t="s">
        <v>24</v>
      </c>
      <c r="F23" s="85"/>
      <c r="G23" s="24"/>
      <c r="H23" s="26"/>
      <c r="I23" s="46" t="s">
        <v>28</v>
      </c>
      <c r="J23" s="64" t="s">
        <v>14</v>
      </c>
    </row>
    <row r="24" spans="2:10" ht="16.2" customHeight="1" thickBot="1" x14ac:dyDescent="0.35">
      <c r="B24" s="128"/>
      <c r="C24" s="86">
        <v>4</v>
      </c>
      <c r="D24" s="87">
        <v>3</v>
      </c>
      <c r="E24" s="88" t="s">
        <v>24</v>
      </c>
      <c r="F24" s="89"/>
      <c r="G24" s="24"/>
      <c r="H24" s="26"/>
      <c r="I24" s="46" t="s">
        <v>29</v>
      </c>
      <c r="J24" s="64" t="s">
        <v>30</v>
      </c>
    </row>
    <row r="25" spans="2:10" ht="16.2" customHeight="1" thickBot="1" x14ac:dyDescent="0.35">
      <c r="B25" s="79" t="s">
        <v>31</v>
      </c>
      <c r="C25" s="80" t="s">
        <v>32</v>
      </c>
      <c r="D25" s="81" t="s">
        <v>69</v>
      </c>
      <c r="E25" s="53"/>
      <c r="F25" s="82">
        <v>2</v>
      </c>
      <c r="G25" s="24"/>
      <c r="H25" s="26"/>
      <c r="I25" s="46" t="s">
        <v>33</v>
      </c>
      <c r="J25" s="64" t="s">
        <v>34</v>
      </c>
    </row>
    <row r="26" spans="2:10" ht="16.2" customHeight="1" thickBot="1" x14ac:dyDescent="0.35">
      <c r="E26" s="50" t="s">
        <v>35</v>
      </c>
      <c r="F26" s="51">
        <f>SUM(F25:F25)</f>
        <v>2</v>
      </c>
      <c r="G26" s="24"/>
      <c r="H26" s="26"/>
      <c r="I26" s="46" t="s">
        <v>36</v>
      </c>
      <c r="J26" s="64" t="s">
        <v>37</v>
      </c>
    </row>
    <row r="27" spans="2:10" ht="16.2" customHeight="1" thickBot="1" x14ac:dyDescent="0.35">
      <c r="G27" s="24"/>
      <c r="H27" s="26"/>
      <c r="I27" s="46" t="s">
        <v>38</v>
      </c>
      <c r="J27" s="65" t="s">
        <v>39</v>
      </c>
    </row>
    <row r="28" spans="2:10" x14ac:dyDescent="0.3">
      <c r="B28" s="52"/>
      <c r="C28" s="53"/>
      <c r="D28" s="53"/>
      <c r="E28" s="53"/>
      <c r="F28" s="54"/>
      <c r="G28" s="24"/>
      <c r="H28" s="26"/>
      <c r="I28" s="55" t="s">
        <v>30</v>
      </c>
    </row>
    <row r="29" spans="2:10" ht="16.2" customHeight="1" thickBot="1" x14ac:dyDescent="0.35">
      <c r="G29" s="24"/>
      <c r="H29" s="26"/>
      <c r="I29" s="46" t="s">
        <v>40</v>
      </c>
    </row>
    <row r="30" spans="2:10" ht="18" customHeight="1" thickBot="1" x14ac:dyDescent="0.35">
      <c r="B30" s="121" t="s">
        <v>41</v>
      </c>
      <c r="C30" s="122"/>
      <c r="D30" s="122"/>
      <c r="E30" s="122"/>
      <c r="F30" s="123"/>
      <c r="I30" s="46" t="s">
        <v>42</v>
      </c>
    </row>
    <row r="31" spans="2:10" ht="28.2" customHeight="1" thickBot="1" x14ac:dyDescent="0.35">
      <c r="B31" s="32"/>
      <c r="C31" s="33" t="s">
        <v>18</v>
      </c>
      <c r="D31" s="33" t="s">
        <v>19</v>
      </c>
      <c r="E31" s="33" t="s">
        <v>20</v>
      </c>
      <c r="F31" s="34" t="s">
        <v>21</v>
      </c>
      <c r="I31" s="55" t="s">
        <v>43</v>
      </c>
    </row>
    <row r="32" spans="2:10" x14ac:dyDescent="0.3">
      <c r="B32" s="114"/>
      <c r="C32" s="103">
        <v>1</v>
      </c>
      <c r="D32" s="37">
        <v>11</v>
      </c>
      <c r="E32" s="38" t="s">
        <v>24</v>
      </c>
      <c r="F32" s="39"/>
      <c r="I32" s="94" t="s">
        <v>44</v>
      </c>
    </row>
    <row r="33" spans="2:9" ht="16.2" customHeight="1" thickBot="1" x14ac:dyDescent="0.35">
      <c r="B33" s="115"/>
      <c r="C33" s="72">
        <v>2</v>
      </c>
      <c r="D33" s="73">
        <v>5</v>
      </c>
      <c r="E33" s="74" t="s">
        <v>24</v>
      </c>
      <c r="F33" s="75"/>
      <c r="I33" s="95" t="s">
        <v>45</v>
      </c>
    </row>
    <row r="34" spans="2:9" x14ac:dyDescent="0.3">
      <c r="B34" s="115"/>
      <c r="C34" s="104">
        <v>3</v>
      </c>
      <c r="D34" s="83">
        <v>11</v>
      </c>
      <c r="E34" s="84" t="s">
        <v>24</v>
      </c>
      <c r="F34" s="85"/>
      <c r="I34" s="96"/>
    </row>
    <row r="35" spans="2:9" x14ac:dyDescent="0.3">
      <c r="B35" s="115"/>
      <c r="C35" s="72" t="s">
        <v>46</v>
      </c>
      <c r="D35" s="73">
        <v>17</v>
      </c>
      <c r="E35" s="74" t="s">
        <v>38</v>
      </c>
      <c r="F35" s="75"/>
      <c r="I35" s="96"/>
    </row>
    <row r="36" spans="2:9" ht="16.2" customHeight="1" thickBot="1" x14ac:dyDescent="0.35">
      <c r="B36" s="115"/>
      <c r="C36" s="104" t="s">
        <v>47</v>
      </c>
      <c r="D36" s="83">
        <v>9</v>
      </c>
      <c r="E36" s="84" t="s">
        <v>14</v>
      </c>
      <c r="F36" s="85"/>
      <c r="I36" s="96"/>
    </row>
    <row r="37" spans="2:9" x14ac:dyDescent="0.3">
      <c r="B37" s="60" t="s">
        <v>48</v>
      </c>
      <c r="C37" s="69" t="s">
        <v>49</v>
      </c>
      <c r="D37" s="70" t="s">
        <v>70</v>
      </c>
      <c r="E37" s="70" t="s">
        <v>38</v>
      </c>
      <c r="F37" s="71">
        <v>2</v>
      </c>
      <c r="I37" s="96"/>
    </row>
    <row r="38" spans="2:9" ht="16.2" customHeight="1" thickBot="1" x14ac:dyDescent="0.35">
      <c r="B38" s="61" t="s">
        <v>50</v>
      </c>
      <c r="C38" s="57" t="s">
        <v>51</v>
      </c>
      <c r="D38" s="110" t="s">
        <v>72</v>
      </c>
      <c r="E38" s="68" t="s">
        <v>38</v>
      </c>
      <c r="F38" s="58">
        <v>2</v>
      </c>
      <c r="I38" s="66"/>
    </row>
    <row r="39" spans="2:9" ht="16.2" customHeight="1" thickBot="1" x14ac:dyDescent="0.35">
      <c r="E39" s="50" t="s">
        <v>35</v>
      </c>
      <c r="F39" s="51">
        <v>4</v>
      </c>
    </row>
    <row r="41" spans="2:9" x14ac:dyDescent="0.3">
      <c r="B41" s="52"/>
      <c r="C41" s="53"/>
      <c r="D41" s="53"/>
      <c r="E41" s="53"/>
      <c r="F41" s="54"/>
    </row>
    <row r="42" spans="2:9" ht="16.2" customHeight="1" thickBot="1" x14ac:dyDescent="0.35"/>
    <row r="43" spans="2:9" ht="18" customHeight="1" thickBot="1" x14ac:dyDescent="0.35">
      <c r="B43" s="121" t="s">
        <v>52</v>
      </c>
      <c r="C43" s="122"/>
      <c r="D43" s="122"/>
      <c r="E43" s="122"/>
      <c r="F43" s="123"/>
    </row>
    <row r="44" spans="2:9" ht="28.2" customHeight="1" thickBot="1" x14ac:dyDescent="0.35">
      <c r="B44" s="32"/>
      <c r="C44" s="33" t="s">
        <v>18</v>
      </c>
      <c r="D44" s="33" t="s">
        <v>19</v>
      </c>
      <c r="E44" s="33" t="s">
        <v>20</v>
      </c>
      <c r="F44" s="34" t="s">
        <v>21</v>
      </c>
    </row>
    <row r="45" spans="2:9" ht="16.2" customHeight="1" thickBot="1" x14ac:dyDescent="0.35">
      <c r="B45" s="90"/>
      <c r="C45" s="105" t="s">
        <v>53</v>
      </c>
      <c r="D45" s="91">
        <v>32</v>
      </c>
      <c r="E45" s="92" t="s">
        <v>38</v>
      </c>
      <c r="F45" s="93"/>
    </row>
    <row r="46" spans="2:9" ht="16.2" customHeight="1" thickBot="1" x14ac:dyDescent="0.35">
      <c r="B46" s="79" t="s">
        <v>54</v>
      </c>
      <c r="C46" s="80" t="s">
        <v>55</v>
      </c>
      <c r="D46" s="107" t="s">
        <v>71</v>
      </c>
      <c r="E46" s="81" t="s">
        <v>38</v>
      </c>
      <c r="F46" s="82">
        <v>2</v>
      </c>
    </row>
    <row r="47" spans="2:9" ht="16.2" customHeight="1" thickBot="1" x14ac:dyDescent="0.35">
      <c r="E47" s="50" t="s">
        <v>35</v>
      </c>
      <c r="F47" s="51">
        <f>SUM(F46:F46)</f>
        <v>2</v>
      </c>
    </row>
    <row r="49" spans="2:6" x14ac:dyDescent="0.3">
      <c r="B49" s="52"/>
      <c r="C49" s="53"/>
      <c r="D49" s="53"/>
      <c r="E49" s="53"/>
      <c r="F49" s="54"/>
    </row>
    <row r="51" spans="2:6" ht="16.2" customHeight="1" thickBot="1" x14ac:dyDescent="0.35"/>
    <row r="52" spans="2:6" ht="18" customHeight="1" thickBot="1" x14ac:dyDescent="0.35">
      <c r="B52" s="121" t="s">
        <v>56</v>
      </c>
      <c r="C52" s="122"/>
      <c r="D52" s="122"/>
      <c r="E52" s="122"/>
      <c r="F52" s="123"/>
    </row>
    <row r="53" spans="2:6" ht="28.2" customHeight="1" thickBot="1" x14ac:dyDescent="0.35">
      <c r="B53" s="32"/>
      <c r="C53" s="33" t="s">
        <v>18</v>
      </c>
      <c r="D53" s="33" t="s">
        <v>19</v>
      </c>
      <c r="E53" s="33" t="s">
        <v>20</v>
      </c>
      <c r="F53" s="34" t="s">
        <v>21</v>
      </c>
    </row>
    <row r="54" spans="2:6" x14ac:dyDescent="0.3">
      <c r="B54" s="114"/>
      <c r="C54" s="103">
        <v>1</v>
      </c>
      <c r="D54" s="37">
        <v>13</v>
      </c>
      <c r="E54" s="38" t="s">
        <v>24</v>
      </c>
      <c r="F54" s="39"/>
    </row>
    <row r="55" spans="2:6" x14ac:dyDescent="0.3">
      <c r="B55" s="115"/>
      <c r="C55" s="72">
        <v>2</v>
      </c>
      <c r="D55" s="73">
        <v>5</v>
      </c>
      <c r="E55" s="74" t="s">
        <v>24</v>
      </c>
      <c r="F55" s="75"/>
    </row>
    <row r="56" spans="2:6" x14ac:dyDescent="0.3">
      <c r="B56" s="115"/>
      <c r="C56" s="104" t="s">
        <v>46</v>
      </c>
      <c r="D56" s="83">
        <v>6</v>
      </c>
      <c r="E56" s="84" t="s">
        <v>38</v>
      </c>
      <c r="F56" s="85"/>
    </row>
    <row r="57" spans="2:6" x14ac:dyDescent="0.3">
      <c r="B57" s="115"/>
      <c r="C57" s="72" t="s">
        <v>47</v>
      </c>
      <c r="D57" s="73">
        <v>190</v>
      </c>
      <c r="E57" s="74" t="s">
        <v>14</v>
      </c>
      <c r="F57" s="75"/>
    </row>
    <row r="58" spans="2:6" ht="16.2" customHeight="1" thickBot="1" x14ac:dyDescent="0.35">
      <c r="B58" s="115"/>
      <c r="C58" s="106" t="s">
        <v>57</v>
      </c>
      <c r="D58" s="83">
        <v>130</v>
      </c>
      <c r="E58" s="84" t="s">
        <v>14</v>
      </c>
      <c r="F58" s="85"/>
    </row>
    <row r="59" spans="2:6" ht="16.2" customHeight="1" thickBot="1" x14ac:dyDescent="0.35">
      <c r="B59" s="47" t="s">
        <v>58</v>
      </c>
      <c r="C59" s="80" t="s">
        <v>59</v>
      </c>
      <c r="D59" s="108" t="s">
        <v>73</v>
      </c>
      <c r="E59" s="67" t="s">
        <v>38</v>
      </c>
      <c r="F59" s="49">
        <v>2</v>
      </c>
    </row>
    <row r="60" spans="2:6" ht="16.2" customHeight="1" thickBot="1" x14ac:dyDescent="0.35">
      <c r="E60" s="50" t="s">
        <v>35</v>
      </c>
      <c r="F60" s="51">
        <v>2</v>
      </c>
    </row>
    <row r="62" spans="2:6" x14ac:dyDescent="0.3">
      <c r="B62" s="52"/>
      <c r="C62" s="53"/>
      <c r="D62" s="53"/>
      <c r="E62" s="53"/>
      <c r="F62" s="54"/>
    </row>
    <row r="63" spans="2:6" ht="16.2" customHeight="1" thickBot="1" x14ac:dyDescent="0.35"/>
    <row r="64" spans="2:6" ht="18" customHeight="1" thickBot="1" x14ac:dyDescent="0.35">
      <c r="B64" s="121" t="s">
        <v>60</v>
      </c>
      <c r="C64" s="122"/>
      <c r="D64" s="122"/>
      <c r="E64" s="122"/>
      <c r="F64" s="123"/>
    </row>
    <row r="65" spans="2:6" ht="28.2" customHeight="1" thickBot="1" x14ac:dyDescent="0.35">
      <c r="B65" s="32"/>
      <c r="C65" s="33" t="s">
        <v>18</v>
      </c>
      <c r="D65" s="33" t="s">
        <v>19</v>
      </c>
      <c r="E65" s="33" t="s">
        <v>20</v>
      </c>
      <c r="F65" s="34" t="s">
        <v>21</v>
      </c>
    </row>
    <row r="66" spans="2:6" ht="16.2" customHeight="1" thickBot="1" x14ac:dyDescent="0.35">
      <c r="B66" s="101"/>
      <c r="C66" s="103" t="s">
        <v>53</v>
      </c>
      <c r="D66" s="37">
        <v>142</v>
      </c>
      <c r="E66" s="38" t="s">
        <v>38</v>
      </c>
      <c r="F66" s="39"/>
    </row>
    <row r="67" spans="2:6" ht="16.2" customHeight="1" thickBot="1" x14ac:dyDescent="0.35">
      <c r="B67" s="47" t="s">
        <v>48</v>
      </c>
      <c r="C67" s="48" t="s">
        <v>59</v>
      </c>
      <c r="D67" s="67">
        <v>34</v>
      </c>
      <c r="E67" s="67" t="s">
        <v>38</v>
      </c>
      <c r="F67" s="49">
        <v>2</v>
      </c>
    </row>
    <row r="68" spans="2:6" ht="16.2" customHeight="1" thickBot="1" x14ac:dyDescent="0.35">
      <c r="E68" s="50" t="s">
        <v>35</v>
      </c>
      <c r="F68" s="51">
        <v>4</v>
      </c>
    </row>
    <row r="70" spans="2:6" x14ac:dyDescent="0.3">
      <c r="B70" s="52"/>
      <c r="C70" s="53"/>
      <c r="D70" s="53"/>
      <c r="E70" s="53"/>
      <c r="F70" s="54"/>
    </row>
    <row r="71" spans="2:6" ht="16.2" customHeight="1" thickBot="1" x14ac:dyDescent="0.35"/>
    <row r="72" spans="2:6" ht="18" customHeight="1" thickBot="1" x14ac:dyDescent="0.35">
      <c r="B72" s="121" t="s">
        <v>61</v>
      </c>
      <c r="C72" s="122"/>
      <c r="D72" s="122"/>
      <c r="E72" s="122"/>
      <c r="F72" s="123"/>
    </row>
    <row r="73" spans="2:6" ht="28.2" customHeight="1" thickBot="1" x14ac:dyDescent="0.35">
      <c r="B73" s="32"/>
      <c r="C73" s="33" t="s">
        <v>18</v>
      </c>
      <c r="D73" s="33" t="s">
        <v>19</v>
      </c>
      <c r="E73" s="33" t="s">
        <v>20</v>
      </c>
      <c r="F73" s="34" t="s">
        <v>21</v>
      </c>
    </row>
    <row r="74" spans="2:6" x14ac:dyDescent="0.3">
      <c r="B74" s="114"/>
      <c r="C74" s="103">
        <v>1</v>
      </c>
      <c r="D74" s="37">
        <v>19</v>
      </c>
      <c r="E74" s="38" t="s">
        <v>24</v>
      </c>
      <c r="F74" s="39"/>
    </row>
    <row r="75" spans="2:6" x14ac:dyDescent="0.3">
      <c r="B75" s="115"/>
      <c r="C75" s="97">
        <v>2</v>
      </c>
      <c r="D75" s="98">
        <v>11</v>
      </c>
      <c r="E75" s="99" t="s">
        <v>24</v>
      </c>
      <c r="F75" s="100"/>
    </row>
    <row r="76" spans="2:6" ht="16.2" customHeight="1" thickBot="1" x14ac:dyDescent="0.35">
      <c r="B76" s="102"/>
      <c r="C76" s="106" t="s">
        <v>47</v>
      </c>
      <c r="D76" s="76">
        <v>3</v>
      </c>
      <c r="E76" s="77" t="s">
        <v>30</v>
      </c>
      <c r="F76" s="78"/>
    </row>
    <row r="77" spans="2:6" x14ac:dyDescent="0.3">
      <c r="B77" s="60" t="s">
        <v>50</v>
      </c>
      <c r="C77" s="69" t="s">
        <v>62</v>
      </c>
      <c r="D77" s="109" t="s">
        <v>74</v>
      </c>
      <c r="E77" s="70" t="s">
        <v>30</v>
      </c>
      <c r="F77" s="71">
        <v>2</v>
      </c>
    </row>
    <row r="78" spans="2:6" ht="16.2" customHeight="1" thickBot="1" x14ac:dyDescent="0.35">
      <c r="B78" s="79" t="s">
        <v>63</v>
      </c>
      <c r="C78" s="80" t="s">
        <v>64</v>
      </c>
      <c r="D78" s="81">
        <v>20</v>
      </c>
      <c r="E78" s="81" t="s">
        <v>24</v>
      </c>
      <c r="F78" s="82">
        <v>2</v>
      </c>
    </row>
    <row r="79" spans="2:6" ht="16.2" customHeight="1" thickBot="1" x14ac:dyDescent="0.35">
      <c r="E79" s="50" t="s">
        <v>35</v>
      </c>
      <c r="F79" s="51">
        <v>2</v>
      </c>
    </row>
    <row r="81" spans="2:6" x14ac:dyDescent="0.3">
      <c r="B81" s="52"/>
      <c r="C81" s="53"/>
      <c r="D81" s="53"/>
      <c r="E81" s="53"/>
      <c r="F81" s="54"/>
    </row>
    <row r="82" spans="2:6" ht="16.2" customHeight="1" thickBot="1" x14ac:dyDescent="0.35"/>
    <row r="83" spans="2:6" ht="18" customHeight="1" thickBot="1" x14ac:dyDescent="0.35">
      <c r="B83" s="121" t="s">
        <v>65</v>
      </c>
      <c r="C83" s="122"/>
      <c r="D83" s="122"/>
      <c r="E83" s="122"/>
      <c r="F83" s="123"/>
    </row>
    <row r="84" spans="2:6" ht="28.2" customHeight="1" thickBot="1" x14ac:dyDescent="0.35">
      <c r="B84" s="32"/>
      <c r="C84" s="33" t="s">
        <v>18</v>
      </c>
      <c r="D84" s="33" t="s">
        <v>19</v>
      </c>
      <c r="E84" s="33" t="s">
        <v>20</v>
      </c>
      <c r="F84" s="34" t="s">
        <v>21</v>
      </c>
    </row>
    <row r="85" spans="2:6" x14ac:dyDescent="0.3">
      <c r="B85" s="36"/>
      <c r="C85" s="103">
        <v>1</v>
      </c>
      <c r="D85" s="37">
        <v>17</v>
      </c>
      <c r="E85" s="38" t="s">
        <v>24</v>
      </c>
      <c r="F85" s="39"/>
    </row>
    <row r="86" spans="2:6" ht="16.2" customHeight="1" thickBot="1" x14ac:dyDescent="0.35">
      <c r="B86" s="41"/>
      <c r="C86" s="42" t="s">
        <v>53</v>
      </c>
      <c r="D86" s="43">
        <v>16</v>
      </c>
      <c r="E86" s="44" t="s">
        <v>38</v>
      </c>
      <c r="F86" s="45"/>
    </row>
    <row r="87" spans="2:6" x14ac:dyDescent="0.3">
      <c r="B87" s="60" t="s">
        <v>66</v>
      </c>
      <c r="C87" s="69" t="s">
        <v>59</v>
      </c>
      <c r="D87" s="70">
        <v>52</v>
      </c>
      <c r="E87" s="70" t="s">
        <v>38</v>
      </c>
      <c r="F87" s="71">
        <v>2</v>
      </c>
    </row>
    <row r="88" spans="2:6" ht="16.2" customHeight="1" thickBot="1" x14ac:dyDescent="0.35">
      <c r="B88" s="61" t="s">
        <v>67</v>
      </c>
      <c r="C88" s="57" t="s">
        <v>68</v>
      </c>
      <c r="D88" s="68">
        <v>19</v>
      </c>
      <c r="E88" s="68" t="s">
        <v>24</v>
      </c>
      <c r="F88" s="58">
        <v>1</v>
      </c>
    </row>
    <row r="89" spans="2:6" ht="16.2" customHeight="1" thickBot="1" x14ac:dyDescent="0.35">
      <c r="E89" s="50" t="s">
        <v>35</v>
      </c>
      <c r="F89" s="51">
        <v>3</v>
      </c>
    </row>
    <row r="91" spans="2:6" x14ac:dyDescent="0.3">
      <c r="B91" s="52"/>
      <c r="C91" s="53"/>
      <c r="D91" s="53"/>
      <c r="E91" s="53"/>
      <c r="F91" s="54"/>
    </row>
    <row r="97" spans="3:8" x14ac:dyDescent="0.3">
      <c r="C97" s="31"/>
      <c r="E97" s="4"/>
    </row>
    <row r="98" spans="3:8" x14ac:dyDescent="0.3">
      <c r="C98" s="31"/>
      <c r="E98" s="4"/>
    </row>
    <row r="102" spans="3:8" x14ac:dyDescent="0.3">
      <c r="C102" s="31"/>
      <c r="E102" s="4"/>
    </row>
    <row r="103" spans="3:8" x14ac:dyDescent="0.3">
      <c r="C103" s="31"/>
      <c r="E103" s="4"/>
    </row>
    <row r="104" spans="3:8" x14ac:dyDescent="0.3">
      <c r="C104" s="31"/>
      <c r="E104" s="4"/>
    </row>
    <row r="105" spans="3:8" x14ac:dyDescent="0.3">
      <c r="C105" s="31"/>
      <c r="D105" s="66"/>
    </row>
    <row r="106" spans="3:8" x14ac:dyDescent="0.3">
      <c r="C106" s="31"/>
    </row>
    <row r="107" spans="3:8" x14ac:dyDescent="0.3">
      <c r="C107" s="31"/>
    </row>
    <row r="108" spans="3:8" x14ac:dyDescent="0.3">
      <c r="C108" s="31"/>
    </row>
    <row r="109" spans="3:8" x14ac:dyDescent="0.3">
      <c r="C109" s="31"/>
      <c r="D109" s="66"/>
      <c r="G109" s="24"/>
      <c r="H109" s="24"/>
    </row>
    <row r="110" spans="3:8" x14ac:dyDescent="0.3">
      <c r="C110" s="31"/>
      <c r="D110" s="66"/>
      <c r="G110" s="24"/>
      <c r="H110" s="24"/>
    </row>
    <row r="111" spans="3:8" x14ac:dyDescent="0.3">
      <c r="C111" s="31"/>
      <c r="D111" s="66"/>
      <c r="G111" s="24"/>
    </row>
    <row r="112" spans="3:8" x14ac:dyDescent="0.3">
      <c r="C112" s="31"/>
      <c r="H112" s="24"/>
    </row>
    <row r="113" spans="3:11" x14ac:dyDescent="0.3">
      <c r="C113" s="31"/>
      <c r="H113" s="24"/>
    </row>
    <row r="114" spans="3:11" x14ac:dyDescent="0.3">
      <c r="C114" s="31"/>
      <c r="H114" s="24"/>
    </row>
    <row r="115" spans="3:11" x14ac:dyDescent="0.3">
      <c r="C115" s="31"/>
      <c r="E115" s="27"/>
      <c r="F115" s="56"/>
      <c r="H115" s="24"/>
    </row>
    <row r="116" spans="3:11" x14ac:dyDescent="0.3">
      <c r="C116" s="31"/>
      <c r="E116" s="27"/>
      <c r="F116" s="24"/>
      <c r="H116" s="24"/>
    </row>
    <row r="117" spans="3:11" x14ac:dyDescent="0.3">
      <c r="C117" s="31"/>
      <c r="E117" s="27"/>
      <c r="F117" s="24"/>
      <c r="H117" s="24"/>
    </row>
    <row r="118" spans="3:11" x14ac:dyDescent="0.3">
      <c r="C118" s="31"/>
      <c r="E118" s="27"/>
      <c r="F118" s="24"/>
      <c r="H118" s="24"/>
    </row>
    <row r="119" spans="3:11" x14ac:dyDescent="0.3">
      <c r="C119" s="31"/>
      <c r="E119" s="27"/>
      <c r="F119" s="24"/>
    </row>
    <row r="120" spans="3:11" x14ac:dyDescent="0.3">
      <c r="C120" s="31"/>
      <c r="E120" s="27"/>
      <c r="F120" s="24"/>
    </row>
    <row r="121" spans="3:11" x14ac:dyDescent="0.3">
      <c r="C121" s="31"/>
      <c r="E121" s="27"/>
      <c r="F121" s="24"/>
    </row>
    <row r="122" spans="3:11" x14ac:dyDescent="0.3">
      <c r="C122" s="31"/>
      <c r="E122" s="27"/>
      <c r="F122" s="24"/>
    </row>
    <row r="123" spans="3:11" x14ac:dyDescent="0.3">
      <c r="C123" s="31"/>
      <c r="E123" s="27"/>
      <c r="F123" s="24"/>
    </row>
    <row r="124" spans="3:11" x14ac:dyDescent="0.3">
      <c r="J124" s="27"/>
      <c r="K124" s="24"/>
    </row>
    <row r="125" spans="3:11" x14ac:dyDescent="0.3">
      <c r="J125" s="27"/>
      <c r="K125" s="24"/>
    </row>
    <row r="126" spans="3:11" x14ac:dyDescent="0.3">
      <c r="J126" s="27"/>
      <c r="K126" s="59"/>
    </row>
    <row r="127" spans="3:11" x14ac:dyDescent="0.3">
      <c r="J127" s="27"/>
      <c r="K127" s="59"/>
    </row>
    <row r="128" spans="3:11" x14ac:dyDescent="0.3">
      <c r="J128" s="27"/>
      <c r="K128" s="59"/>
    </row>
    <row r="129" spans="10:11" x14ac:dyDescent="0.3">
      <c r="J129" s="27"/>
      <c r="K129" s="59"/>
    </row>
    <row r="130" spans="10:11" x14ac:dyDescent="0.3">
      <c r="J130" s="27"/>
      <c r="K130" s="59"/>
    </row>
    <row r="131" spans="10:11" x14ac:dyDescent="0.3">
      <c r="J131" s="27"/>
      <c r="K131" s="59"/>
    </row>
    <row r="132" spans="10:11" x14ac:dyDescent="0.3">
      <c r="J132" s="27"/>
      <c r="K132" s="59"/>
    </row>
    <row r="133" spans="10:11" x14ac:dyDescent="0.3">
      <c r="J133" s="27"/>
      <c r="K133" s="59"/>
    </row>
    <row r="134" spans="10:11" x14ac:dyDescent="0.3">
      <c r="J134" s="27"/>
      <c r="K134" s="24"/>
    </row>
    <row r="135" spans="10:11" x14ac:dyDescent="0.3">
      <c r="J135" s="27"/>
      <c r="K135" s="24"/>
    </row>
    <row r="136" spans="10:11" x14ac:dyDescent="0.3">
      <c r="J136" s="27"/>
      <c r="K136" s="24"/>
    </row>
  </sheetData>
  <mergeCells count="22">
    <mergeCell ref="B83:F83"/>
    <mergeCell ref="C7:D7"/>
    <mergeCell ref="D15:E15"/>
    <mergeCell ref="B64:F64"/>
    <mergeCell ref="D14:E14"/>
    <mergeCell ref="B43:F43"/>
    <mergeCell ref="B2:C2"/>
    <mergeCell ref="E1:F1"/>
    <mergeCell ref="B54:B58"/>
    <mergeCell ref="B1:C1"/>
    <mergeCell ref="B74:B75"/>
    <mergeCell ref="E2:F2"/>
    <mergeCell ref="B10:F10"/>
    <mergeCell ref="B19:F19"/>
    <mergeCell ref="B32:B36"/>
    <mergeCell ref="C8:D8"/>
    <mergeCell ref="B30:F30"/>
    <mergeCell ref="B4:F4"/>
    <mergeCell ref="C6:D6"/>
    <mergeCell ref="B72:F72"/>
    <mergeCell ref="B21:B24"/>
    <mergeCell ref="B52:F52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2025-02-16T09:31:11Z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