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FSK 116/FSK prac/SHM/"/>
    </mc:Choice>
  </mc:AlternateContent>
  <xr:revisionPtr revIDLastSave="216" documentId="8_{4130F82B-66A2-4351-BD11-18AC1BC48A84}" xr6:coauthVersionLast="47" xr6:coauthVersionMax="47" xr10:uidLastSave="{01B382B2-43EF-4F72-87C5-7FB3827F8EF2}"/>
  <bookViews>
    <workbookView xWindow="-110" yWindow="-110" windowWidth="19420" windowHeight="11020" xr2:uid="{A8D479B3-B638-47CC-9D07-54B0B6428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" i="1" l="1"/>
  <c r="Z6" i="1"/>
  <c r="Z5" i="1"/>
  <c r="Z4" i="1"/>
  <c r="Z3" i="1"/>
  <c r="Z2" i="1"/>
  <c r="T3" i="1"/>
  <c r="T4" i="1"/>
  <c r="T5" i="1"/>
  <c r="T6" i="1"/>
  <c r="T7" i="1"/>
  <c r="T8" i="1"/>
  <c r="T9" i="1"/>
  <c r="T10" i="1"/>
  <c r="T11" i="1"/>
  <c r="T2" i="1"/>
  <c r="R3" i="1"/>
  <c r="R4" i="1"/>
  <c r="R5" i="1"/>
  <c r="R6" i="1"/>
  <c r="R7" i="1"/>
  <c r="R8" i="1"/>
  <c r="R9" i="1"/>
  <c r="R10" i="1"/>
  <c r="R11" i="1"/>
  <c r="R2" i="1"/>
  <c r="P3" i="1"/>
  <c r="P4" i="1"/>
  <c r="P5" i="1"/>
  <c r="P6" i="1"/>
  <c r="P7" i="1"/>
  <c r="P8" i="1"/>
  <c r="P9" i="1"/>
  <c r="P10" i="1"/>
  <c r="P11" i="1"/>
  <c r="P2" i="1"/>
  <c r="B3" i="1"/>
  <c r="B4" i="1"/>
  <c r="B5" i="1"/>
  <c r="B6" i="1"/>
  <c r="B7" i="1"/>
  <c r="B8" i="1"/>
  <c r="B9" i="1"/>
  <c r="B10" i="1"/>
  <c r="B11" i="1"/>
  <c r="D3" i="1"/>
  <c r="D4" i="1"/>
  <c r="D5" i="1"/>
  <c r="D6" i="1"/>
  <c r="D7" i="1"/>
  <c r="D8" i="1"/>
  <c r="D9" i="1"/>
  <c r="D10" i="1"/>
  <c r="D11" i="1"/>
  <c r="A13" i="1"/>
  <c r="L3" i="1"/>
  <c r="L4" i="1"/>
  <c r="L5" i="1"/>
  <c r="L6" i="1"/>
  <c r="L7" i="1"/>
  <c r="L8" i="1"/>
  <c r="L9" i="1"/>
  <c r="L10" i="1"/>
  <c r="L11" i="1"/>
  <c r="L2" i="1"/>
  <c r="J3" i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  <c r="D2" i="1"/>
  <c r="B2" i="1"/>
  <c r="K13" i="1"/>
  <c r="I13" i="1"/>
  <c r="G13" i="1"/>
  <c r="E13" i="1"/>
  <c r="C13" i="1"/>
  <c r="R13" i="1" l="1"/>
  <c r="B13" i="1"/>
  <c r="D13" i="1"/>
  <c r="H13" i="1"/>
  <c r="J13" i="1"/>
  <c r="T13" i="1"/>
  <c r="L13" i="1"/>
  <c r="P13" i="1"/>
  <c r="F13" i="1"/>
</calcChain>
</file>

<file path=xl/sharedStrings.xml><?xml version="1.0" encoding="utf-8"?>
<sst xmlns="http://schemas.openxmlformats.org/spreadsheetml/2006/main" count="23" uniqueCount="16">
  <si>
    <t>t1</t>
  </si>
  <si>
    <t>t2</t>
  </si>
  <si>
    <t>t3</t>
  </si>
  <si>
    <t>t4</t>
  </si>
  <si>
    <t>t5</t>
  </si>
  <si>
    <t>t6</t>
  </si>
  <si>
    <t>oscillations</t>
  </si>
  <si>
    <t>Period 1</t>
  </si>
  <si>
    <t>Period 2</t>
  </si>
  <si>
    <t>Period 3</t>
  </si>
  <si>
    <t>Period 4</t>
  </si>
  <si>
    <t>Period 5</t>
  </si>
  <si>
    <t>Period 6</t>
  </si>
  <si>
    <t>Period (T)</t>
  </si>
  <si>
    <t>Length (m)</t>
  </si>
  <si>
    <t>period (T^2)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</si>
</sst>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 sz="1200">
                <a:effectLst/>
              </a:rPr>
              <a:t>Graph to show the relation between the square average Period, T</a:t>
            </a:r>
            <a:r>
              <a:rPr lang="en-ZA" sz="1200" baseline="30000">
                <a:effectLst/>
              </a:rPr>
              <a:t>2</a:t>
            </a:r>
            <a:r>
              <a:rPr lang="en-ZA" sz="1200">
                <a:effectLst/>
              </a:rPr>
              <a:t>(s), and Length, L(m), of a pendulum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ZA"/>
          </a:p>
        </c:rich>
      </c:tx>
      <c:layout>
        <c:manualLayout>
          <c:xMode val="edge"/>
          <c:yMode val="edge"/>
          <c:x val="0.1239147540634499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62464529661988"/>
          <c:y val="0.21476851851851853"/>
          <c:w val="0.793585365723808"/>
          <c:h val="0.700030985710119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Sheet1!$Y$2:$Y$7</c:f>
              <c:numCache>
                <c:formatCode>0.00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0.69</c:v>
                </c:pt>
                <c:pt idx="3">
                  <c:v>0.54</c:v>
                </c:pt>
                <c:pt idx="4">
                  <c:v>0.39</c:v>
                </c:pt>
                <c:pt idx="5">
                  <c:v>0.25</c:v>
                </c:pt>
              </c:numCache>
            </c:numRef>
          </c:xVal>
          <c:yVal>
            <c:numRef>
              <c:f>Sheet1!$Z$2:$Z$7</c:f>
              <c:numCache>
                <c:formatCode>0.00</c:formatCode>
                <c:ptCount val="6"/>
                <c:pt idx="0">
                  <c:v>3.9203999999999999</c:v>
                </c:pt>
                <c:pt idx="1">
                  <c:v>3.5720999999999998</c:v>
                </c:pt>
                <c:pt idx="2">
                  <c:v>2.9583999999999997</c:v>
                </c:pt>
                <c:pt idx="3">
                  <c:v>2.3715999999999999</c:v>
                </c:pt>
                <c:pt idx="4">
                  <c:v>1.8225000000000002</c:v>
                </c:pt>
                <c:pt idx="5">
                  <c:v>1.2995999999999999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C9-9A77-EF96148A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341984"/>
        <c:axId val="551338240"/>
      </c:scatterChart>
      <c:valAx>
        <c:axId val="55134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L</a:t>
                </a:r>
                <a:r>
                  <a:rPr lang="en-ZA" baseline="0"/>
                  <a:t> (m)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38240"/>
        <c:crosses val="autoZero"/>
        <c:crossBetween val="midCat"/>
      </c:valAx>
      <c:valAx>
        <c:axId val="5513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baseline="0">
                    <a:effectLst/>
                  </a:rPr>
                  <a:t>T</a:t>
                </a:r>
                <a:r>
                  <a:rPr lang="en-ZA" sz="1000" b="0" i="0" u="none" strike="noStrike" baseline="30000">
                    <a:effectLst/>
                  </a:rPr>
                  <a:t>2 </a:t>
                </a:r>
                <a:r>
                  <a:rPr lang="en-ZA" sz="1000" b="0" i="0" u="none" strike="noStrike" baseline="0">
                    <a:effectLst/>
                  </a:rPr>
                  <a:t>(s) 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4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542924</xdr:colOff>
      <xdr:row>18</xdr:row>
      <xdr:rowOff>63500</xdr:rowOff>
    </xdr:from>
    <xdr:to>
      <xdr:col>27</xdr:col>
      <xdr:colOff>565149</xdr:colOff>
      <xdr:row>33</xdr:row>
      <xdr:rowOff>44450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6CA5E75-0CCF-4B0B-B9D7-9A2E80520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B9AC-1637-42D7-9539-C65BC600BE62}">
  <dimension ref="A1:Z170"/>
  <sheetViews>
    <sheetView tabSelected="1" topLeftCell="J1" zoomScaleNormal="100" workbookViewId="0">
      <selection activeCell="AA14" sqref="AA14"/>
    </sheetView>
  </sheetViews>
  <sheetFormatPr defaultRowHeight="14.5" x14ac:dyDescent="0.35"/>
  <cols>
    <col min="13" max="13" width="9.81640625" customWidth="1"/>
    <col min="22" max="22" width="9.54296875" customWidth="1"/>
    <col min="24" max="24" width="10.6328125" customWidth="1"/>
    <col min="25" max="25" width="9.90625" customWidth="1"/>
    <col min="26" max="26" width="10.6328125" customWidth="1"/>
  </cols>
  <sheetData>
    <row r="1" spans="1:26" x14ac:dyDescent="0.35">
      <c r="A1" s="1" t="s">
        <v>0</v>
      </c>
      <c r="B1" s="1" t="s">
        <v>7</v>
      </c>
      <c r="C1" s="1" t="s">
        <v>1</v>
      </c>
      <c r="D1" s="1" t="s">
        <v>8</v>
      </c>
      <c r="E1" s="1" t="s">
        <v>2</v>
      </c>
      <c r="F1" s="1" t="s">
        <v>9</v>
      </c>
      <c r="G1" s="1" t="s">
        <v>3</v>
      </c>
      <c r="H1" s="1" t="s">
        <v>10</v>
      </c>
      <c r="I1" s="1" t="s">
        <v>4</v>
      </c>
      <c r="J1" s="1" t="s">
        <v>11</v>
      </c>
      <c r="K1" s="1" t="s">
        <v>5</v>
      </c>
      <c r="L1" s="1" t="s">
        <v>12</v>
      </c>
      <c r="M1" s="1" t="s">
        <v>6</v>
      </c>
      <c r="N1" s="1"/>
      <c r="O1" s="1" t="s">
        <v>0</v>
      </c>
      <c r="P1" s="1" t="s">
        <v>7</v>
      </c>
      <c r="Q1" s="1" t="s">
        <v>1</v>
      </c>
      <c r="R1" s="1" t="s">
        <v>8</v>
      </c>
      <c r="S1" s="1" t="s">
        <v>2</v>
      </c>
      <c r="T1" s="1" t="s">
        <v>9</v>
      </c>
      <c r="U1" s="1"/>
      <c r="V1" s="1" t="s">
        <v>14</v>
      </c>
      <c r="W1" s="1" t="s">
        <v>13</v>
      </c>
      <c r="X1" s="1"/>
      <c r="Y1" s="1" t="s">
        <v>14</v>
      </c>
      <c r="Z1" s="1" t="s">
        <v>15</v>
      </c>
    </row>
    <row r="2" spans="1:26" x14ac:dyDescent="0.35">
      <c r="A2" s="1">
        <v>19.72</v>
      </c>
      <c r="B2" s="1">
        <f>A2/M2</f>
        <v>1.972</v>
      </c>
      <c r="C2" s="1">
        <v>18.95</v>
      </c>
      <c r="D2" s="1">
        <f>C2/M2</f>
        <v>1.895</v>
      </c>
      <c r="E2" s="1">
        <v>17.100000000000001</v>
      </c>
      <c r="F2" s="1">
        <f>E2/M2</f>
        <v>1.7100000000000002</v>
      </c>
      <c r="G2" s="1">
        <v>15.34</v>
      </c>
      <c r="H2" s="1">
        <f>G2/M2</f>
        <v>1.534</v>
      </c>
      <c r="I2" s="1">
        <v>13.62</v>
      </c>
      <c r="J2" s="1">
        <f>I2/M2</f>
        <v>1.3619999999999999</v>
      </c>
      <c r="K2" s="1">
        <v>11.36</v>
      </c>
      <c r="L2" s="1">
        <f>K2/M2</f>
        <v>1.1359999999999999</v>
      </c>
      <c r="M2" s="1">
        <v>10</v>
      </c>
      <c r="N2" s="1"/>
      <c r="O2" s="1">
        <v>19.43</v>
      </c>
      <c r="P2" s="1">
        <f>O2/M2</f>
        <v>1.9430000000000001</v>
      </c>
      <c r="Q2" s="1">
        <v>20.100000000000001</v>
      </c>
      <c r="R2" s="1">
        <f>Q2/M2</f>
        <v>2.0100000000000002</v>
      </c>
      <c r="S2" s="1">
        <v>21.45</v>
      </c>
      <c r="T2" s="1">
        <f>S2/M2</f>
        <v>2.145</v>
      </c>
      <c r="U2" s="1"/>
      <c r="V2" s="1">
        <v>1</v>
      </c>
      <c r="W2" s="1">
        <v>1.98</v>
      </c>
      <c r="X2" s="1"/>
      <c r="Y2" s="1">
        <v>1</v>
      </c>
      <c r="Z2" s="1">
        <f>W2^2</f>
        <v>3.9203999999999999</v>
      </c>
    </row>
    <row r="3" spans="1:26" x14ac:dyDescent="0.35">
      <c r="A3" s="1">
        <v>19.73</v>
      </c>
      <c r="B3" s="1">
        <f t="shared" ref="B3:B11" si="0">A3/M3</f>
        <v>1.9730000000000001</v>
      </c>
      <c r="C3" s="1">
        <v>18.88</v>
      </c>
      <c r="D3" s="1">
        <f t="shared" ref="D3:D11" si="1">C3/M3</f>
        <v>1.8879999999999999</v>
      </c>
      <c r="E3" s="1">
        <v>17.440000000000001</v>
      </c>
      <c r="F3" s="1">
        <f t="shared" ref="F3:F11" si="2">E3/M3</f>
        <v>1.7440000000000002</v>
      </c>
      <c r="G3" s="1">
        <v>15.86</v>
      </c>
      <c r="H3" s="1">
        <f t="shared" ref="H3:H11" si="3">G3/M3</f>
        <v>1.5859999999999999</v>
      </c>
      <c r="I3" s="1">
        <v>13.44</v>
      </c>
      <c r="J3" s="1">
        <f t="shared" ref="J3:J11" si="4">I3/M3</f>
        <v>1.3439999999999999</v>
      </c>
      <c r="K3" s="1">
        <v>11.74</v>
      </c>
      <c r="L3" s="1">
        <f t="shared" ref="L3:L11" si="5">K3/M3</f>
        <v>1.1739999999999999</v>
      </c>
      <c r="M3" s="1">
        <v>10</v>
      </c>
      <c r="N3" s="1"/>
      <c r="O3" s="1">
        <v>19.39</v>
      </c>
      <c r="P3" s="1">
        <f t="shared" ref="P3:P11" si="6">O3/M3</f>
        <v>1.9390000000000001</v>
      </c>
      <c r="Q3" s="1">
        <v>21.34</v>
      </c>
      <c r="R3" s="1">
        <f t="shared" ref="R3:R11" si="7">Q3/M3</f>
        <v>2.1339999999999999</v>
      </c>
      <c r="S3" s="1">
        <v>20.53</v>
      </c>
      <c r="T3" s="1">
        <f t="shared" ref="T3:T11" si="8">S3/M3</f>
        <v>2.0529999999999999</v>
      </c>
      <c r="U3" s="1"/>
      <c r="V3" s="1">
        <v>0.8</v>
      </c>
      <c r="W3" s="1">
        <v>1.89</v>
      </c>
      <c r="X3" s="1"/>
      <c r="Y3" s="1">
        <v>0.8</v>
      </c>
      <c r="Z3" s="1">
        <f>W3^2</f>
        <v>3.5720999999999998</v>
      </c>
    </row>
    <row r="4" spans="1:26" x14ac:dyDescent="0.35">
      <c r="A4" s="1">
        <v>19.920000000000002</v>
      </c>
      <c r="B4" s="1">
        <f t="shared" si="0"/>
        <v>1.9920000000000002</v>
      </c>
      <c r="C4" s="1">
        <v>18.93</v>
      </c>
      <c r="D4" s="1">
        <f t="shared" si="1"/>
        <v>1.893</v>
      </c>
      <c r="E4" s="1">
        <v>16.97</v>
      </c>
      <c r="F4" s="1">
        <f t="shared" si="2"/>
        <v>1.6969999999999998</v>
      </c>
      <c r="G4" s="1">
        <v>15.41</v>
      </c>
      <c r="H4" s="1">
        <f t="shared" si="3"/>
        <v>1.5409999999999999</v>
      </c>
      <c r="I4" s="1">
        <v>13.37</v>
      </c>
      <c r="J4" s="1">
        <f t="shared" si="4"/>
        <v>1.337</v>
      </c>
      <c r="K4" s="1">
        <v>11.34</v>
      </c>
      <c r="L4" s="1">
        <f t="shared" si="5"/>
        <v>1.1339999999999999</v>
      </c>
      <c r="M4" s="1">
        <v>10</v>
      </c>
      <c r="N4" s="1"/>
      <c r="O4" s="1">
        <v>19.7</v>
      </c>
      <c r="P4" s="1">
        <f t="shared" si="6"/>
        <v>1.97</v>
      </c>
      <c r="Q4" s="1">
        <v>20.13</v>
      </c>
      <c r="R4" s="1">
        <f t="shared" si="7"/>
        <v>2.0129999999999999</v>
      </c>
      <c r="S4" s="1">
        <v>21.24</v>
      </c>
      <c r="T4" s="1">
        <f t="shared" si="8"/>
        <v>2.1239999999999997</v>
      </c>
      <c r="U4" s="1"/>
      <c r="V4" s="1">
        <v>0.69</v>
      </c>
      <c r="W4" s="1">
        <v>1.72</v>
      </c>
      <c r="X4" s="1"/>
      <c r="Y4" s="1">
        <v>0.69</v>
      </c>
      <c r="Z4" s="1">
        <f>W4^2</f>
        <v>2.9583999999999997</v>
      </c>
    </row>
    <row r="5" spans="1:26" x14ac:dyDescent="0.35">
      <c r="A5" s="1">
        <v>19.670000000000002</v>
      </c>
      <c r="B5" s="1">
        <f t="shared" si="0"/>
        <v>1.9670000000000001</v>
      </c>
      <c r="C5" s="1">
        <v>18.86</v>
      </c>
      <c r="D5" s="1">
        <f t="shared" si="1"/>
        <v>1.8859999999999999</v>
      </c>
      <c r="E5" s="1">
        <v>17.149999999999999</v>
      </c>
      <c r="F5" s="1">
        <f t="shared" si="2"/>
        <v>1.7149999999999999</v>
      </c>
      <c r="G5" s="1">
        <v>15.48</v>
      </c>
      <c r="H5" s="1">
        <f t="shared" si="3"/>
        <v>1.548</v>
      </c>
      <c r="I5" s="1">
        <v>13.51</v>
      </c>
      <c r="J5" s="1">
        <f t="shared" si="4"/>
        <v>1.351</v>
      </c>
      <c r="K5" s="1">
        <v>11.47</v>
      </c>
      <c r="L5" s="1">
        <f t="shared" si="5"/>
        <v>1.147</v>
      </c>
      <c r="M5" s="1">
        <v>10</v>
      </c>
      <c r="N5" s="1"/>
      <c r="O5" s="1">
        <v>19.04</v>
      </c>
      <c r="P5" s="1">
        <f t="shared" si="6"/>
        <v>1.9039999999999999</v>
      </c>
      <c r="Q5" s="1">
        <v>20.28</v>
      </c>
      <c r="R5" s="1">
        <f t="shared" si="7"/>
        <v>2.028</v>
      </c>
      <c r="S5" s="1">
        <v>21.37</v>
      </c>
      <c r="T5" s="1">
        <f t="shared" si="8"/>
        <v>2.137</v>
      </c>
      <c r="U5" s="1"/>
      <c r="V5" s="1">
        <v>0.54</v>
      </c>
      <c r="W5" s="1">
        <v>1.54</v>
      </c>
      <c r="X5" s="1"/>
      <c r="Y5" s="1">
        <v>0.54</v>
      </c>
      <c r="Z5" s="1">
        <f>W5^2</f>
        <v>2.3715999999999999</v>
      </c>
    </row>
    <row r="6" spans="1:26" x14ac:dyDescent="0.35">
      <c r="A6" s="1">
        <v>19.77</v>
      </c>
      <c r="B6" s="1">
        <f t="shared" si="0"/>
        <v>1.9769999999999999</v>
      </c>
      <c r="C6" s="1">
        <v>18.87</v>
      </c>
      <c r="D6" s="1">
        <f t="shared" si="1"/>
        <v>1.887</v>
      </c>
      <c r="E6" s="1">
        <v>17.18</v>
      </c>
      <c r="F6" s="1">
        <f t="shared" si="2"/>
        <v>1.718</v>
      </c>
      <c r="G6" s="1">
        <v>15.4</v>
      </c>
      <c r="H6" s="1">
        <f t="shared" si="3"/>
        <v>1.54</v>
      </c>
      <c r="I6" s="1">
        <v>13.51</v>
      </c>
      <c r="J6" s="1">
        <f t="shared" si="4"/>
        <v>1.351</v>
      </c>
      <c r="K6" s="1">
        <v>11.32</v>
      </c>
      <c r="L6" s="1">
        <f t="shared" si="5"/>
        <v>1.1320000000000001</v>
      </c>
      <c r="M6" s="1">
        <v>10</v>
      </c>
      <c r="N6" s="1"/>
      <c r="O6" s="1">
        <v>19.34</v>
      </c>
      <c r="P6" s="1">
        <f t="shared" si="6"/>
        <v>1.9339999999999999</v>
      </c>
      <c r="Q6" s="1">
        <v>20.63</v>
      </c>
      <c r="R6" s="1">
        <f t="shared" si="7"/>
        <v>2.0629999999999997</v>
      </c>
      <c r="S6" s="1">
        <v>21.36</v>
      </c>
      <c r="T6" s="1">
        <f t="shared" si="8"/>
        <v>2.1360000000000001</v>
      </c>
      <c r="U6" s="1"/>
      <c r="V6" s="1">
        <v>0.39</v>
      </c>
      <c r="W6" s="1">
        <v>1.35</v>
      </c>
      <c r="X6" s="1"/>
      <c r="Y6" s="1">
        <v>0.39</v>
      </c>
      <c r="Z6" s="1">
        <f>W6^2</f>
        <v>1.8225000000000002</v>
      </c>
    </row>
    <row r="7" spans="1:26" x14ac:dyDescent="0.35">
      <c r="A7" s="1">
        <v>20.13</v>
      </c>
      <c r="B7" s="1">
        <f t="shared" si="0"/>
        <v>2.0129999999999999</v>
      </c>
      <c r="C7" s="1">
        <v>18.940000000000001</v>
      </c>
      <c r="D7" s="1">
        <f t="shared" si="1"/>
        <v>1.8940000000000001</v>
      </c>
      <c r="E7" s="1">
        <v>17.25</v>
      </c>
      <c r="F7" s="1">
        <f t="shared" si="2"/>
        <v>1.7250000000000001</v>
      </c>
      <c r="G7" s="1">
        <v>15.48</v>
      </c>
      <c r="H7" s="1">
        <f t="shared" si="3"/>
        <v>1.548</v>
      </c>
      <c r="I7" s="1">
        <v>13.75</v>
      </c>
      <c r="J7" s="1">
        <f t="shared" si="4"/>
        <v>1.375</v>
      </c>
      <c r="K7" s="1">
        <v>11.21</v>
      </c>
      <c r="L7" s="1">
        <f t="shared" si="5"/>
        <v>1.121</v>
      </c>
      <c r="M7" s="1">
        <v>10</v>
      </c>
      <c r="N7" s="1"/>
      <c r="O7" s="1">
        <v>19.39</v>
      </c>
      <c r="P7" s="1">
        <f t="shared" si="6"/>
        <v>1.9390000000000001</v>
      </c>
      <c r="Q7" s="1">
        <v>20.71</v>
      </c>
      <c r="R7" s="1">
        <f t="shared" si="7"/>
        <v>2.0710000000000002</v>
      </c>
      <c r="S7" s="1">
        <v>21.17</v>
      </c>
      <c r="T7" s="1">
        <f t="shared" si="8"/>
        <v>2.117</v>
      </c>
      <c r="U7" s="1"/>
      <c r="V7" s="1">
        <v>0.25</v>
      </c>
      <c r="W7" s="1">
        <v>1.1399999999999999</v>
      </c>
      <c r="X7" s="1"/>
      <c r="Y7" s="1">
        <v>0.25</v>
      </c>
      <c r="Z7" s="1">
        <f>W7^2</f>
        <v>1.2995999999999999</v>
      </c>
    </row>
    <row r="8" spans="1:26" x14ac:dyDescent="0.35">
      <c r="A8" s="1">
        <v>19.79</v>
      </c>
      <c r="B8" s="1">
        <f t="shared" si="0"/>
        <v>1.9789999999999999</v>
      </c>
      <c r="C8" s="1">
        <v>18.82</v>
      </c>
      <c r="D8" s="1">
        <f t="shared" si="1"/>
        <v>1.8820000000000001</v>
      </c>
      <c r="E8" s="1">
        <v>17.11</v>
      </c>
      <c r="F8" s="1">
        <f t="shared" si="2"/>
        <v>1.7109999999999999</v>
      </c>
      <c r="G8" s="1">
        <v>15.53</v>
      </c>
      <c r="H8" s="1">
        <f t="shared" si="3"/>
        <v>1.5529999999999999</v>
      </c>
      <c r="I8" s="1">
        <v>13.37</v>
      </c>
      <c r="J8" s="1">
        <f t="shared" si="4"/>
        <v>1.337</v>
      </c>
      <c r="K8" s="1">
        <v>11.29</v>
      </c>
      <c r="L8" s="1">
        <f t="shared" si="5"/>
        <v>1.129</v>
      </c>
      <c r="M8" s="1">
        <v>10</v>
      </c>
      <c r="N8" s="1"/>
      <c r="O8" s="1">
        <v>19.59</v>
      </c>
      <c r="P8" s="1">
        <f t="shared" si="6"/>
        <v>1.9590000000000001</v>
      </c>
      <c r="Q8" s="1">
        <v>20.41</v>
      </c>
      <c r="R8" s="1">
        <f t="shared" si="7"/>
        <v>2.0409999999999999</v>
      </c>
      <c r="S8" s="1">
        <v>21.27</v>
      </c>
      <c r="T8" s="1">
        <f t="shared" si="8"/>
        <v>2.1269999999999998</v>
      </c>
      <c r="U8" s="1"/>
      <c r="V8" s="1"/>
      <c r="W8" s="1"/>
      <c r="X8" s="1"/>
      <c r="Y8" s="1"/>
      <c r="Z8" s="1"/>
    </row>
    <row r="9" spans="1:26" x14ac:dyDescent="0.35">
      <c r="A9" s="1">
        <v>19.66</v>
      </c>
      <c r="B9" s="1">
        <f t="shared" si="0"/>
        <v>1.966</v>
      </c>
      <c r="C9" s="1">
        <v>18.89</v>
      </c>
      <c r="D9" s="1">
        <f t="shared" si="1"/>
        <v>1.889</v>
      </c>
      <c r="E9" s="1">
        <v>17.25</v>
      </c>
      <c r="F9" s="1">
        <f t="shared" si="2"/>
        <v>1.7250000000000001</v>
      </c>
      <c r="G9" s="1">
        <v>15.26</v>
      </c>
      <c r="H9" s="1">
        <f t="shared" si="3"/>
        <v>1.526</v>
      </c>
      <c r="I9" s="1">
        <v>13.5</v>
      </c>
      <c r="J9" s="1">
        <f t="shared" si="4"/>
        <v>1.35</v>
      </c>
      <c r="K9" s="1">
        <v>11.33</v>
      </c>
      <c r="L9" s="1">
        <f t="shared" si="5"/>
        <v>1.133</v>
      </c>
      <c r="M9" s="1">
        <v>10</v>
      </c>
      <c r="N9" s="1"/>
      <c r="O9" s="1">
        <v>19.41</v>
      </c>
      <c r="P9" s="1">
        <f t="shared" si="6"/>
        <v>1.9410000000000001</v>
      </c>
      <c r="Q9" s="1">
        <v>20.75</v>
      </c>
      <c r="R9" s="1">
        <f t="shared" si="7"/>
        <v>2.0750000000000002</v>
      </c>
      <c r="S9" s="1">
        <v>21.73</v>
      </c>
      <c r="T9" s="1">
        <f t="shared" si="8"/>
        <v>2.173</v>
      </c>
      <c r="U9" s="1"/>
      <c r="V9" s="1"/>
      <c r="W9" s="1"/>
      <c r="X9" s="1"/>
      <c r="Y9" s="1"/>
      <c r="Z9" s="1"/>
    </row>
    <row r="10" spans="1:26" x14ac:dyDescent="0.35">
      <c r="A10" s="1">
        <v>19.78</v>
      </c>
      <c r="B10" s="1">
        <f t="shared" si="0"/>
        <v>1.9780000000000002</v>
      </c>
      <c r="C10" s="1">
        <v>18.690000000000001</v>
      </c>
      <c r="D10" s="1">
        <f t="shared" si="1"/>
        <v>1.8690000000000002</v>
      </c>
      <c r="E10" s="1">
        <v>17.190000000000001</v>
      </c>
      <c r="F10" s="1">
        <f t="shared" si="2"/>
        <v>1.7190000000000001</v>
      </c>
      <c r="G10" s="1">
        <v>15.35</v>
      </c>
      <c r="H10" s="1">
        <f t="shared" si="3"/>
        <v>1.5349999999999999</v>
      </c>
      <c r="I10" s="1">
        <v>13.45</v>
      </c>
      <c r="J10" s="1">
        <f t="shared" si="4"/>
        <v>1.345</v>
      </c>
      <c r="K10" s="1">
        <v>11.13</v>
      </c>
      <c r="L10" s="1">
        <f t="shared" si="5"/>
        <v>1.113</v>
      </c>
      <c r="M10" s="1">
        <v>10</v>
      </c>
      <c r="N10" s="1"/>
      <c r="O10" s="1">
        <v>19.32</v>
      </c>
      <c r="P10" s="1">
        <f t="shared" si="6"/>
        <v>1.9319999999999999</v>
      </c>
      <c r="Q10" s="1">
        <v>20.23</v>
      </c>
      <c r="R10" s="1">
        <f t="shared" si="7"/>
        <v>2.0230000000000001</v>
      </c>
      <c r="S10" s="1">
        <v>21.64</v>
      </c>
      <c r="T10" s="1">
        <f t="shared" si="8"/>
        <v>2.1640000000000001</v>
      </c>
      <c r="U10" s="1"/>
      <c r="V10" s="1"/>
      <c r="W10" s="1"/>
      <c r="X10" s="1"/>
      <c r="Y10" s="1"/>
      <c r="Z10" s="1"/>
    </row>
    <row r="11" spans="1:26" x14ac:dyDescent="0.35">
      <c r="A11" s="1">
        <v>20.05</v>
      </c>
      <c r="B11" s="1">
        <f t="shared" si="0"/>
        <v>2.0049999999999999</v>
      </c>
      <c r="C11" s="1">
        <v>18.82</v>
      </c>
      <c r="D11" s="1">
        <f t="shared" si="1"/>
        <v>1.8820000000000001</v>
      </c>
      <c r="E11" s="1">
        <v>17.12</v>
      </c>
      <c r="F11" s="1">
        <f t="shared" si="2"/>
        <v>1.7120000000000002</v>
      </c>
      <c r="G11" s="1">
        <v>15.08</v>
      </c>
      <c r="H11" s="1">
        <f t="shared" si="3"/>
        <v>1.508</v>
      </c>
      <c r="I11" s="1">
        <v>13.49</v>
      </c>
      <c r="J11" s="1">
        <f t="shared" si="4"/>
        <v>1.349</v>
      </c>
      <c r="K11" s="1">
        <v>11.64</v>
      </c>
      <c r="L11" s="1">
        <f t="shared" si="5"/>
        <v>1.1640000000000001</v>
      </c>
      <c r="M11" s="1">
        <v>10</v>
      </c>
      <c r="N11" s="1"/>
      <c r="O11" s="1">
        <v>19.600000000000001</v>
      </c>
      <c r="P11" s="1">
        <f t="shared" si="6"/>
        <v>1.9600000000000002</v>
      </c>
      <c r="Q11" s="1">
        <v>20.79</v>
      </c>
      <c r="R11" s="1">
        <f t="shared" si="7"/>
        <v>2.0789999999999997</v>
      </c>
      <c r="S11" s="1">
        <v>21.57</v>
      </c>
      <c r="T11" s="1">
        <f t="shared" si="8"/>
        <v>2.157</v>
      </c>
      <c r="U11" s="1"/>
      <c r="V11" s="1"/>
      <c r="W11" s="1"/>
      <c r="X11" s="1"/>
      <c r="Y11" s="1"/>
      <c r="Z11" s="1"/>
    </row>
    <row r="12" spans="1:2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>
        <f t="shared" ref="A13:L13" si="9">AVERAGE(A2:A11)</f>
        <v>19.821999999999999</v>
      </c>
      <c r="B13" s="1">
        <f t="shared" si="9"/>
        <v>1.9822</v>
      </c>
      <c r="C13" s="1">
        <f t="shared" si="9"/>
        <v>18.864999999999998</v>
      </c>
      <c r="D13" s="1">
        <f t="shared" si="9"/>
        <v>1.8865000000000003</v>
      </c>
      <c r="E13" s="1">
        <f t="shared" si="9"/>
        <v>17.175999999999998</v>
      </c>
      <c r="F13" s="1">
        <f t="shared" si="9"/>
        <v>1.7175999999999998</v>
      </c>
      <c r="G13" s="1">
        <f t="shared" si="9"/>
        <v>15.419000000000002</v>
      </c>
      <c r="H13" s="1">
        <f t="shared" si="9"/>
        <v>1.5419</v>
      </c>
      <c r="I13" s="1">
        <f t="shared" si="9"/>
        <v>13.501000000000001</v>
      </c>
      <c r="J13" s="1">
        <f t="shared" si="9"/>
        <v>1.3500999999999999</v>
      </c>
      <c r="K13" s="1">
        <f t="shared" si="9"/>
        <v>11.382999999999999</v>
      </c>
      <c r="L13" s="1">
        <f t="shared" si="9"/>
        <v>1.1382999999999996</v>
      </c>
      <c r="M13" s="1"/>
      <c r="N13" s="1"/>
      <c r="O13" s="1"/>
      <c r="P13" s="1">
        <f>AVERAGE(P2:P11)</f>
        <v>1.9420999999999999</v>
      </c>
      <c r="Q13" s="1"/>
      <c r="R13" s="1">
        <f>AVERAGE(R2:R11)</f>
        <v>2.0537000000000001</v>
      </c>
      <c r="S13" s="1"/>
      <c r="T13" s="1">
        <f>AVERAGE(T2:T11)</f>
        <v>2.1333000000000002</v>
      </c>
      <c r="U13" s="1"/>
      <c r="V13" s="1"/>
      <c r="W13" s="1"/>
      <c r="X13" s="1"/>
      <c r="Y13" s="1"/>
      <c r="Z13" s="1"/>
    </row>
    <row r="14" spans="1:2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reyneke</dc:creator>
  <cp:lastModifiedBy>ruan reyneke</cp:lastModifiedBy>
  <dcterms:created xsi:type="dcterms:W3CDTF">2021-05-29T10:43:33Z</dcterms:created>
  <dcterms:modified xsi:type="dcterms:W3CDTF">2021-06-01T19:39:24Z</dcterms:modified>
</cp:coreProperties>
</file>