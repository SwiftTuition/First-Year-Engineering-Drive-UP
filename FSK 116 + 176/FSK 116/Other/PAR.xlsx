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FSK 116/FSK prac/PAR/"/>
    </mc:Choice>
  </mc:AlternateContent>
  <xr:revisionPtr revIDLastSave="278" documentId="8_{46A89830-D5D0-43DA-B9FA-41086CEF9E83}" xr6:coauthVersionLast="46" xr6:coauthVersionMax="46" xr10:uidLastSave="{CE9E751B-53BF-44E3-9B5E-1ED2DE244DF9}"/>
  <bookViews>
    <workbookView xWindow="-110" yWindow="-110" windowWidth="19420" windowHeight="11020" activeTab="1" xr2:uid="{8FE0FC48-FE58-4ACA-9554-01586D2B79D5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D2" i="3"/>
  <c r="D3" i="3"/>
  <c r="G2" i="3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F2" i="3"/>
  <c r="E2" i="3"/>
  <c r="E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H2" i="3" l="1"/>
</calcChain>
</file>

<file path=xl/sharedStrings.xml><?xml version="1.0" encoding="utf-8"?>
<sst xmlns="http://schemas.openxmlformats.org/spreadsheetml/2006/main" count="14" uniqueCount="11">
  <si>
    <t>t (s)</t>
  </si>
  <si>
    <t>x (m)</t>
  </si>
  <si>
    <t>y(m)</t>
  </si>
  <si>
    <t>v x(m/s)</t>
  </si>
  <si>
    <t>v y(m/s)</t>
  </si>
  <si>
    <t>midpoint of interval</t>
  </si>
  <si>
    <t>mid t(s)</t>
  </si>
  <si>
    <t>vx avg(m/s)</t>
  </si>
  <si>
    <t>vy avg(m/s)</t>
  </si>
  <si>
    <t>mid 2 t(s)</t>
  </si>
  <si>
    <t>ay avg (m/s2)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</si>
</sst>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 of distance, x(m) over</a:t>
            </a:r>
            <a:r>
              <a:rPr lang="en-US" baseline="0"/>
              <a:t> time, t(s)</a:t>
            </a:r>
            <a:endParaRPr lang="en-US"/>
          </a:p>
        </c:rich>
      </c:tx>
      <c:layout>
        <c:manualLayout>
          <c:xMode val="edge"/>
          <c:yMode val="edge"/>
          <c:x val="0.200500000000000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Sheet1!$A$2:$A$27</c:f>
              <c:numCache>
                <c:formatCode>0.000</c:formatCode>
                <c:ptCount val="26"/>
                <c:pt idx="0">
                  <c:v>0</c:v>
                </c:pt>
                <c:pt idx="1">
                  <c:v>3.3000000000000002E-2</c:v>
                </c:pt>
                <c:pt idx="2">
                  <c:v>6.7000000000000004E-2</c:v>
                </c:pt>
                <c:pt idx="3">
                  <c:v>0.1</c:v>
                </c:pt>
                <c:pt idx="4">
                  <c:v>0.13300000000000001</c:v>
                </c:pt>
                <c:pt idx="5">
                  <c:v>0.16700000000000001</c:v>
                </c:pt>
                <c:pt idx="6">
                  <c:v>0.2</c:v>
                </c:pt>
                <c:pt idx="7">
                  <c:v>0.23400000000000001</c:v>
                </c:pt>
                <c:pt idx="8">
                  <c:v>0.26700000000000002</c:v>
                </c:pt>
                <c:pt idx="9">
                  <c:v>0.3</c:v>
                </c:pt>
                <c:pt idx="10">
                  <c:v>0.33400000000000002</c:v>
                </c:pt>
                <c:pt idx="11">
                  <c:v>0.36699999999999999</c:v>
                </c:pt>
                <c:pt idx="12">
                  <c:v>0.4</c:v>
                </c:pt>
                <c:pt idx="13">
                  <c:v>0.434</c:v>
                </c:pt>
                <c:pt idx="14">
                  <c:v>0.46700000000000003</c:v>
                </c:pt>
                <c:pt idx="15">
                  <c:v>0.5</c:v>
                </c:pt>
                <c:pt idx="16">
                  <c:v>0.53400000000000003</c:v>
                </c:pt>
                <c:pt idx="17">
                  <c:v>0.56699999999999995</c:v>
                </c:pt>
                <c:pt idx="18">
                  <c:v>0.6</c:v>
                </c:pt>
                <c:pt idx="19">
                  <c:v>0.63400000000000001</c:v>
                </c:pt>
                <c:pt idx="20">
                  <c:v>0.66700000000000004</c:v>
                </c:pt>
                <c:pt idx="21">
                  <c:v>0.70099999999999996</c:v>
                </c:pt>
                <c:pt idx="22">
                  <c:v>0.73399999999999999</c:v>
                </c:pt>
                <c:pt idx="23">
                  <c:v>0.76800000000000002</c:v>
                </c:pt>
                <c:pt idx="24">
                  <c:v>0.80100000000000005</c:v>
                </c:pt>
                <c:pt idx="25">
                  <c:v>0.83399999999999996</c:v>
                </c:pt>
              </c:numCache>
            </c:numRef>
          </c:xVal>
          <c:yVal>
            <c:numRef>
              <c:f>Sheet1!$B$2:$B$27</c:f>
              <c:numCache>
                <c:formatCode>0.000</c:formatCode>
                <c:ptCount val="26"/>
                <c:pt idx="0">
                  <c:v>0</c:v>
                </c:pt>
                <c:pt idx="1">
                  <c:v>6.7000000000000004E-2</c:v>
                </c:pt>
                <c:pt idx="2">
                  <c:v>0.13400000000000001</c:v>
                </c:pt>
                <c:pt idx="3">
                  <c:v>0.20200000000000001</c:v>
                </c:pt>
                <c:pt idx="4">
                  <c:v>0.26900000000000002</c:v>
                </c:pt>
                <c:pt idx="5">
                  <c:v>0.33700000000000002</c:v>
                </c:pt>
                <c:pt idx="6">
                  <c:v>0.40500000000000003</c:v>
                </c:pt>
                <c:pt idx="7">
                  <c:v>0.47399999999999998</c:v>
                </c:pt>
                <c:pt idx="8">
                  <c:v>0.54300000000000004</c:v>
                </c:pt>
                <c:pt idx="9">
                  <c:v>0.61099999999999999</c:v>
                </c:pt>
                <c:pt idx="10">
                  <c:v>0.67900000000000005</c:v>
                </c:pt>
                <c:pt idx="11">
                  <c:v>0.748</c:v>
                </c:pt>
                <c:pt idx="12">
                  <c:v>0.81599999999999995</c:v>
                </c:pt>
                <c:pt idx="13">
                  <c:v>0.88300000000000001</c:v>
                </c:pt>
                <c:pt idx="14">
                  <c:v>0.95099999999999996</c:v>
                </c:pt>
                <c:pt idx="15">
                  <c:v>1.018</c:v>
                </c:pt>
                <c:pt idx="16">
                  <c:v>1.0840000000000001</c:v>
                </c:pt>
                <c:pt idx="17">
                  <c:v>1.151</c:v>
                </c:pt>
                <c:pt idx="18">
                  <c:v>1.216</c:v>
                </c:pt>
                <c:pt idx="19">
                  <c:v>1.28</c:v>
                </c:pt>
                <c:pt idx="20">
                  <c:v>1.3440000000000001</c:v>
                </c:pt>
                <c:pt idx="21">
                  <c:v>1.407</c:v>
                </c:pt>
                <c:pt idx="22">
                  <c:v>1.4690000000000001</c:v>
                </c:pt>
                <c:pt idx="23">
                  <c:v>1.5309999999999999</c:v>
                </c:pt>
                <c:pt idx="24">
                  <c:v>1.5920000000000001</c:v>
                </c:pt>
                <c:pt idx="25">
                  <c:v>1.651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68-4A6C-8535-67BB8671D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231968"/>
        <c:axId val="795930416"/>
      </c:scatterChart>
      <c:valAx>
        <c:axId val="88623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t</a:t>
                </a:r>
                <a:r>
                  <a:rPr lang="en-ZA" baseline="0"/>
                  <a:t> (s)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30416"/>
        <c:crosses val="autoZero"/>
        <c:crossBetween val="midCat"/>
      </c:valAx>
      <c:valAx>
        <c:axId val="79593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Distance</a:t>
                </a:r>
                <a:r>
                  <a:rPr lang="en-ZA" baseline="0"/>
                  <a:t> x (m)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3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Graph of distance, y(m) over time, t(s)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Sheet1!$A$2:$A$27</c:f>
              <c:numCache>
                <c:formatCode>0.000</c:formatCode>
                <c:ptCount val="26"/>
                <c:pt idx="0">
                  <c:v>0</c:v>
                </c:pt>
                <c:pt idx="1">
                  <c:v>3.3000000000000002E-2</c:v>
                </c:pt>
                <c:pt idx="2">
                  <c:v>6.7000000000000004E-2</c:v>
                </c:pt>
                <c:pt idx="3">
                  <c:v>0.1</c:v>
                </c:pt>
                <c:pt idx="4">
                  <c:v>0.13300000000000001</c:v>
                </c:pt>
                <c:pt idx="5">
                  <c:v>0.16700000000000001</c:v>
                </c:pt>
                <c:pt idx="6">
                  <c:v>0.2</c:v>
                </c:pt>
                <c:pt idx="7">
                  <c:v>0.23400000000000001</c:v>
                </c:pt>
                <c:pt idx="8">
                  <c:v>0.26700000000000002</c:v>
                </c:pt>
                <c:pt idx="9">
                  <c:v>0.3</c:v>
                </c:pt>
                <c:pt idx="10">
                  <c:v>0.33400000000000002</c:v>
                </c:pt>
                <c:pt idx="11">
                  <c:v>0.36699999999999999</c:v>
                </c:pt>
                <c:pt idx="12">
                  <c:v>0.4</c:v>
                </c:pt>
                <c:pt idx="13">
                  <c:v>0.434</c:v>
                </c:pt>
                <c:pt idx="14">
                  <c:v>0.46700000000000003</c:v>
                </c:pt>
                <c:pt idx="15">
                  <c:v>0.5</c:v>
                </c:pt>
                <c:pt idx="16">
                  <c:v>0.53400000000000003</c:v>
                </c:pt>
                <c:pt idx="17">
                  <c:v>0.56699999999999995</c:v>
                </c:pt>
                <c:pt idx="18">
                  <c:v>0.6</c:v>
                </c:pt>
                <c:pt idx="19">
                  <c:v>0.63400000000000001</c:v>
                </c:pt>
                <c:pt idx="20">
                  <c:v>0.66700000000000004</c:v>
                </c:pt>
                <c:pt idx="21">
                  <c:v>0.70099999999999996</c:v>
                </c:pt>
                <c:pt idx="22">
                  <c:v>0.73399999999999999</c:v>
                </c:pt>
                <c:pt idx="23">
                  <c:v>0.76800000000000002</c:v>
                </c:pt>
                <c:pt idx="24">
                  <c:v>0.80100000000000005</c:v>
                </c:pt>
                <c:pt idx="25">
                  <c:v>0.83399999999999996</c:v>
                </c:pt>
              </c:numCache>
            </c:numRef>
          </c:xVal>
          <c:yVal>
            <c:numRef>
              <c:f>Sheet1!$C$2:$C$27</c:f>
              <c:numCache>
                <c:formatCode>0.000</c:formatCode>
                <c:ptCount val="26"/>
                <c:pt idx="0">
                  <c:v>0</c:v>
                </c:pt>
                <c:pt idx="1">
                  <c:v>9.8000000000000004E-2</c:v>
                </c:pt>
                <c:pt idx="2">
                  <c:v>0.185</c:v>
                </c:pt>
                <c:pt idx="3">
                  <c:v>0.26</c:v>
                </c:pt>
                <c:pt idx="4">
                  <c:v>0.32300000000000001</c:v>
                </c:pt>
                <c:pt idx="5">
                  <c:v>0.375</c:v>
                </c:pt>
                <c:pt idx="6">
                  <c:v>0.41599999999999998</c:v>
                </c:pt>
                <c:pt idx="7">
                  <c:v>0.44400000000000001</c:v>
                </c:pt>
                <c:pt idx="8">
                  <c:v>0.46100000000000002</c:v>
                </c:pt>
                <c:pt idx="9">
                  <c:v>0.46500000000000002</c:v>
                </c:pt>
                <c:pt idx="10">
                  <c:v>0.45800000000000002</c:v>
                </c:pt>
                <c:pt idx="11">
                  <c:v>0.439</c:v>
                </c:pt>
                <c:pt idx="12">
                  <c:v>0.40899999999999997</c:v>
                </c:pt>
                <c:pt idx="13">
                  <c:v>0.36699999999999999</c:v>
                </c:pt>
                <c:pt idx="14">
                  <c:v>0.314</c:v>
                </c:pt>
                <c:pt idx="15">
                  <c:v>0.249</c:v>
                </c:pt>
                <c:pt idx="16">
                  <c:v>0.17299999999999999</c:v>
                </c:pt>
                <c:pt idx="17">
                  <c:v>8.5999999999999993E-2</c:v>
                </c:pt>
                <c:pt idx="18">
                  <c:v>-1.0999999999999999E-2</c:v>
                </c:pt>
                <c:pt idx="19">
                  <c:v>-0.12</c:v>
                </c:pt>
                <c:pt idx="20">
                  <c:v>-0.23799999999999999</c:v>
                </c:pt>
                <c:pt idx="21">
                  <c:v>-0.36599999999999999</c:v>
                </c:pt>
                <c:pt idx="22">
                  <c:v>-0.504</c:v>
                </c:pt>
                <c:pt idx="23">
                  <c:v>-0.65100000000000002</c:v>
                </c:pt>
                <c:pt idx="24">
                  <c:v>-0.80700000000000005</c:v>
                </c:pt>
                <c:pt idx="25">
                  <c:v>-0.97399999999999998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7B-47FA-A454-D49B571FF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035680"/>
        <c:axId val="578036512"/>
      </c:scatterChart>
      <c:valAx>
        <c:axId val="57803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Time, t(s)</a:t>
                </a:r>
              </a:p>
            </c:rich>
          </c:tx>
          <c:layout>
            <c:manualLayout>
              <c:xMode val="edge"/>
              <c:yMode val="edge"/>
              <c:x val="0.5102801837270341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36512"/>
        <c:crosses val="autoZero"/>
        <c:crossBetween val="midCat"/>
      </c:valAx>
      <c:valAx>
        <c:axId val="57803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Distance, y(m)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3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Graph of distance, y(m) over distance, x(m)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Sheet1!$B$2:$B$27</c:f>
              <c:numCache>
                <c:formatCode>0.000</c:formatCode>
                <c:ptCount val="26"/>
                <c:pt idx="0">
                  <c:v>0</c:v>
                </c:pt>
                <c:pt idx="1">
                  <c:v>6.7000000000000004E-2</c:v>
                </c:pt>
                <c:pt idx="2">
                  <c:v>0.13400000000000001</c:v>
                </c:pt>
                <c:pt idx="3">
                  <c:v>0.20200000000000001</c:v>
                </c:pt>
                <c:pt idx="4">
                  <c:v>0.26900000000000002</c:v>
                </c:pt>
                <c:pt idx="5">
                  <c:v>0.33700000000000002</c:v>
                </c:pt>
                <c:pt idx="6">
                  <c:v>0.40500000000000003</c:v>
                </c:pt>
                <c:pt idx="7">
                  <c:v>0.47399999999999998</c:v>
                </c:pt>
                <c:pt idx="8">
                  <c:v>0.54300000000000004</c:v>
                </c:pt>
                <c:pt idx="9">
                  <c:v>0.61099999999999999</c:v>
                </c:pt>
                <c:pt idx="10">
                  <c:v>0.67900000000000005</c:v>
                </c:pt>
                <c:pt idx="11">
                  <c:v>0.748</c:v>
                </c:pt>
                <c:pt idx="12">
                  <c:v>0.81599999999999995</c:v>
                </c:pt>
                <c:pt idx="13">
                  <c:v>0.88300000000000001</c:v>
                </c:pt>
                <c:pt idx="14">
                  <c:v>0.95099999999999996</c:v>
                </c:pt>
                <c:pt idx="15">
                  <c:v>1.018</c:v>
                </c:pt>
                <c:pt idx="16">
                  <c:v>1.0840000000000001</c:v>
                </c:pt>
                <c:pt idx="17">
                  <c:v>1.151</c:v>
                </c:pt>
                <c:pt idx="18">
                  <c:v>1.216</c:v>
                </c:pt>
                <c:pt idx="19">
                  <c:v>1.28</c:v>
                </c:pt>
                <c:pt idx="20">
                  <c:v>1.3440000000000001</c:v>
                </c:pt>
                <c:pt idx="21">
                  <c:v>1.407</c:v>
                </c:pt>
                <c:pt idx="22">
                  <c:v>1.4690000000000001</c:v>
                </c:pt>
                <c:pt idx="23">
                  <c:v>1.5309999999999999</c:v>
                </c:pt>
                <c:pt idx="24">
                  <c:v>1.5920000000000001</c:v>
                </c:pt>
                <c:pt idx="25">
                  <c:v>1.651</c:v>
                </c:pt>
              </c:numCache>
            </c:numRef>
          </c:xVal>
          <c:yVal>
            <c:numRef>
              <c:f>Sheet1!$C$2:$C$27</c:f>
              <c:numCache>
                <c:formatCode>0.000</c:formatCode>
                <c:ptCount val="26"/>
                <c:pt idx="0">
                  <c:v>0</c:v>
                </c:pt>
                <c:pt idx="1">
                  <c:v>9.8000000000000004E-2</c:v>
                </c:pt>
                <c:pt idx="2">
                  <c:v>0.185</c:v>
                </c:pt>
                <c:pt idx="3">
                  <c:v>0.26</c:v>
                </c:pt>
                <c:pt idx="4">
                  <c:v>0.32300000000000001</c:v>
                </c:pt>
                <c:pt idx="5">
                  <c:v>0.375</c:v>
                </c:pt>
                <c:pt idx="6">
                  <c:v>0.41599999999999998</c:v>
                </c:pt>
                <c:pt idx="7">
                  <c:v>0.44400000000000001</c:v>
                </c:pt>
                <c:pt idx="8">
                  <c:v>0.46100000000000002</c:v>
                </c:pt>
                <c:pt idx="9">
                  <c:v>0.46500000000000002</c:v>
                </c:pt>
                <c:pt idx="10">
                  <c:v>0.45800000000000002</c:v>
                </c:pt>
                <c:pt idx="11">
                  <c:v>0.439</c:v>
                </c:pt>
                <c:pt idx="12">
                  <c:v>0.40899999999999997</c:v>
                </c:pt>
                <c:pt idx="13">
                  <c:v>0.36699999999999999</c:v>
                </c:pt>
                <c:pt idx="14">
                  <c:v>0.314</c:v>
                </c:pt>
                <c:pt idx="15">
                  <c:v>0.249</c:v>
                </c:pt>
                <c:pt idx="16">
                  <c:v>0.17299999999999999</c:v>
                </c:pt>
                <c:pt idx="17">
                  <c:v>8.5999999999999993E-2</c:v>
                </c:pt>
                <c:pt idx="18">
                  <c:v>-1.0999999999999999E-2</c:v>
                </c:pt>
                <c:pt idx="19">
                  <c:v>-0.12</c:v>
                </c:pt>
                <c:pt idx="20">
                  <c:v>-0.23799999999999999</c:v>
                </c:pt>
                <c:pt idx="21">
                  <c:v>-0.36599999999999999</c:v>
                </c:pt>
                <c:pt idx="22">
                  <c:v>-0.504</c:v>
                </c:pt>
                <c:pt idx="23">
                  <c:v>-0.65100000000000002</c:v>
                </c:pt>
                <c:pt idx="24">
                  <c:v>-0.80700000000000005</c:v>
                </c:pt>
                <c:pt idx="25">
                  <c:v>-0.97399999999999998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86-48E1-8CA3-F4CB08F7D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037616"/>
        <c:axId val="959038032"/>
      </c:scatterChart>
      <c:valAx>
        <c:axId val="95903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Distance x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38032"/>
        <c:crosses val="autoZero"/>
        <c:crossBetween val="midCat"/>
      </c:valAx>
      <c:valAx>
        <c:axId val="9590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Distance, y(m)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3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  <a:r>
              <a:rPr lang="en-US" baseline="0"/>
              <a:t> of velocity,v x(m/s) midpoint time interval, t(s)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 x(m/s)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Sheet1!$D$2:$D$27</c:f>
              <c:numCache>
                <c:formatCode>0.000</c:formatCode>
                <c:ptCount val="26"/>
                <c:pt idx="1">
                  <c:v>0.05</c:v>
                </c:pt>
                <c:pt idx="2">
                  <c:v>8.3500000000000005E-2</c:v>
                </c:pt>
                <c:pt idx="3">
                  <c:v>0.11650000000000001</c:v>
                </c:pt>
                <c:pt idx="4">
                  <c:v>0.15000000000000002</c:v>
                </c:pt>
                <c:pt idx="5">
                  <c:v>0.1835</c:v>
                </c:pt>
                <c:pt idx="6">
                  <c:v>0.21700000000000003</c:v>
                </c:pt>
                <c:pt idx="7">
                  <c:v>0.2505</c:v>
                </c:pt>
                <c:pt idx="8">
                  <c:v>0.28349999999999997</c:v>
                </c:pt>
                <c:pt idx="9">
                  <c:v>0.317</c:v>
                </c:pt>
                <c:pt idx="10">
                  <c:v>0.35050000000000003</c:v>
                </c:pt>
                <c:pt idx="11">
                  <c:v>0.38350000000000001</c:v>
                </c:pt>
                <c:pt idx="12">
                  <c:v>0.41700000000000004</c:v>
                </c:pt>
                <c:pt idx="13">
                  <c:v>0.45050000000000001</c:v>
                </c:pt>
                <c:pt idx="14">
                  <c:v>0.48350000000000004</c:v>
                </c:pt>
                <c:pt idx="15">
                  <c:v>0.51700000000000002</c:v>
                </c:pt>
                <c:pt idx="16">
                  <c:v>0.55049999999999999</c:v>
                </c:pt>
                <c:pt idx="17">
                  <c:v>0.58349999999999991</c:v>
                </c:pt>
                <c:pt idx="18">
                  <c:v>0.61699999999999999</c:v>
                </c:pt>
                <c:pt idx="19">
                  <c:v>0.65050000000000008</c:v>
                </c:pt>
                <c:pt idx="20">
                  <c:v>0.68399999999999994</c:v>
                </c:pt>
                <c:pt idx="21">
                  <c:v>0.71750000000000003</c:v>
                </c:pt>
                <c:pt idx="22">
                  <c:v>0.751</c:v>
                </c:pt>
                <c:pt idx="23">
                  <c:v>0.78449999999999998</c:v>
                </c:pt>
                <c:pt idx="24">
                  <c:v>0.8175</c:v>
                </c:pt>
                <c:pt idx="25">
                  <c:v>0.41699999999999998</c:v>
                </c:pt>
              </c:numCache>
            </c:numRef>
          </c:xVal>
          <c:yVal>
            <c:numRef>
              <c:f>Sheet1!$E$2:$E$27</c:f>
              <c:numCache>
                <c:formatCode>0.000</c:formatCode>
                <c:ptCount val="26"/>
                <c:pt idx="1">
                  <c:v>2.0303030303030303</c:v>
                </c:pt>
                <c:pt idx="2">
                  <c:v>2</c:v>
                </c:pt>
                <c:pt idx="3">
                  <c:v>2.02</c:v>
                </c:pt>
                <c:pt idx="4">
                  <c:v>2.0225563909774436</c:v>
                </c:pt>
                <c:pt idx="5">
                  <c:v>2.0179640718562872</c:v>
                </c:pt>
                <c:pt idx="6">
                  <c:v>2.0249999999999999</c:v>
                </c:pt>
                <c:pt idx="7">
                  <c:v>2.0256410256410255</c:v>
                </c:pt>
                <c:pt idx="8">
                  <c:v>2.0337078651685392</c:v>
                </c:pt>
                <c:pt idx="9">
                  <c:v>2.0366666666666666</c:v>
                </c:pt>
                <c:pt idx="10">
                  <c:v>2.032934131736527</c:v>
                </c:pt>
                <c:pt idx="11">
                  <c:v>2.0381471389645776</c:v>
                </c:pt>
                <c:pt idx="12">
                  <c:v>2.0399999999999996</c:v>
                </c:pt>
                <c:pt idx="13">
                  <c:v>2.0345622119815667</c:v>
                </c:pt>
                <c:pt idx="14">
                  <c:v>2.0364025695931476</c:v>
                </c:pt>
                <c:pt idx="15">
                  <c:v>2.036</c:v>
                </c:pt>
                <c:pt idx="16">
                  <c:v>2.0299625468164795</c:v>
                </c:pt>
                <c:pt idx="17">
                  <c:v>2.029982363315697</c:v>
                </c:pt>
                <c:pt idx="18">
                  <c:v>2.0266666666666668</c:v>
                </c:pt>
                <c:pt idx="19">
                  <c:v>2.0189274447949526</c:v>
                </c:pt>
                <c:pt idx="20">
                  <c:v>2.0149925037481258</c:v>
                </c:pt>
                <c:pt idx="21">
                  <c:v>2.007132667617689</c:v>
                </c:pt>
                <c:pt idx="22">
                  <c:v>2.0013623978201638</c:v>
                </c:pt>
                <c:pt idx="23">
                  <c:v>1.9934895833333333</c:v>
                </c:pt>
                <c:pt idx="24">
                  <c:v>1.9875156054931336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40-48C1-B0B9-45AFB52C4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538399"/>
        <c:axId val="683519679"/>
      </c:scatterChart>
      <c:valAx>
        <c:axId val="683538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519679"/>
        <c:crosses val="autoZero"/>
        <c:crossBetween val="midCat"/>
      </c:valAx>
      <c:valAx>
        <c:axId val="68351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</a:t>
                </a:r>
                <a:r>
                  <a:rPr lang="en-ZA" baseline="0"/>
                  <a:t> x(m/s)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538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  <a:r>
              <a:rPr lang="en-US" baseline="0"/>
              <a:t> of velocity, v y(m/s) over midpoint time interval, t(s)</a:t>
            </a:r>
            <a:endParaRPr lang="en-US"/>
          </a:p>
        </c:rich>
      </c:tx>
      <c:layout>
        <c:manualLayout>
          <c:xMode val="edge"/>
          <c:yMode val="edge"/>
          <c:x val="0.1549239920687376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v y(m/s)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Sheet1!#REF!</c:f>
            </c:numRef>
          </c:xVal>
          <c:yVal>
            <c:numRef>
              <c:f>Sheet1!$F$2:$F$27</c:f>
              <c:numCache>
                <c:formatCode>0.000</c:formatCode>
                <c:ptCount val="26"/>
                <c:pt idx="1">
                  <c:v>2.9696969696969697</c:v>
                </c:pt>
                <c:pt idx="2">
                  <c:v>2.761194029850746</c:v>
                </c:pt>
                <c:pt idx="3">
                  <c:v>2.6</c:v>
                </c:pt>
                <c:pt idx="4">
                  <c:v>2.4285714285714284</c:v>
                </c:pt>
                <c:pt idx="5">
                  <c:v>2.2455089820359282</c:v>
                </c:pt>
                <c:pt idx="6">
                  <c:v>2.0799999999999996</c:v>
                </c:pt>
                <c:pt idx="7">
                  <c:v>1.8974358974358974</c:v>
                </c:pt>
                <c:pt idx="8">
                  <c:v>1.7265917602996255</c:v>
                </c:pt>
                <c:pt idx="9">
                  <c:v>1.55</c:v>
                </c:pt>
                <c:pt idx="10">
                  <c:v>1.3712574850299402</c:v>
                </c:pt>
                <c:pt idx="11">
                  <c:v>1.1961852861035422</c:v>
                </c:pt>
                <c:pt idx="12">
                  <c:v>1.0225</c:v>
                </c:pt>
                <c:pt idx="13">
                  <c:v>0.84562211981566815</c:v>
                </c:pt>
                <c:pt idx="14">
                  <c:v>0.6723768736616702</c:v>
                </c:pt>
                <c:pt idx="15">
                  <c:v>0.498</c:v>
                </c:pt>
                <c:pt idx="16">
                  <c:v>0.32397003745318348</c:v>
                </c:pt>
                <c:pt idx="17">
                  <c:v>0.15167548500881833</c:v>
                </c:pt>
                <c:pt idx="18">
                  <c:v>-1.8333333333333333E-2</c:v>
                </c:pt>
                <c:pt idx="19">
                  <c:v>-0.1892744479495268</c:v>
                </c:pt>
                <c:pt idx="20">
                  <c:v>-0.35682158920539725</c:v>
                </c:pt>
                <c:pt idx="21">
                  <c:v>-0.522111269614836</c:v>
                </c:pt>
                <c:pt idx="22">
                  <c:v>-0.68664850136239786</c:v>
                </c:pt>
                <c:pt idx="23">
                  <c:v>-0.84765625</c:v>
                </c:pt>
                <c:pt idx="24">
                  <c:v>-1.0074906367041199</c:v>
                </c:pt>
                <c:pt idx="25">
                  <c:v>-1.1678657074340528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5C-4EBD-9A4F-556D80EFC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336591"/>
        <c:axId val="738328271"/>
      </c:scatterChart>
      <c:valAx>
        <c:axId val="7383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28271"/>
        <c:crosses val="autoZero"/>
        <c:crossBetween val="midCat"/>
      </c:valAx>
      <c:valAx>
        <c:axId val="73832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</a:t>
                </a:r>
                <a:r>
                  <a:rPr lang="en-ZA" baseline="0"/>
                  <a:t> y(m/s)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36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Graph of velocity,vx (m/s) midpoint time interval, t(s)</a:t>
            </a:r>
            <a:endParaRPr lang="en-ZA" sz="12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152555727694281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61653170635617"/>
          <c:y val="0.23953703703703705"/>
          <c:w val="0.55769561259203659"/>
          <c:h val="0.5548920968212306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vx avg(m/s)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Sheet3!$D$2:$D$27</c:f>
              <c:numCache>
                <c:formatCode>0.000</c:formatCode>
                <c:ptCount val="26"/>
                <c:pt idx="0">
                  <c:v>1.6500000000000001E-2</c:v>
                </c:pt>
                <c:pt idx="1">
                  <c:v>0.05</c:v>
                </c:pt>
                <c:pt idx="2">
                  <c:v>8.3500000000000005E-2</c:v>
                </c:pt>
                <c:pt idx="3">
                  <c:v>0.11650000000000001</c:v>
                </c:pt>
                <c:pt idx="4">
                  <c:v>0.15000000000000002</c:v>
                </c:pt>
                <c:pt idx="5">
                  <c:v>0.1835</c:v>
                </c:pt>
                <c:pt idx="6">
                  <c:v>0.21700000000000003</c:v>
                </c:pt>
                <c:pt idx="7">
                  <c:v>0.2505</c:v>
                </c:pt>
                <c:pt idx="8">
                  <c:v>0.28349999999999997</c:v>
                </c:pt>
                <c:pt idx="9">
                  <c:v>0.317</c:v>
                </c:pt>
                <c:pt idx="10">
                  <c:v>0.35050000000000003</c:v>
                </c:pt>
                <c:pt idx="11">
                  <c:v>0.38350000000000001</c:v>
                </c:pt>
                <c:pt idx="12">
                  <c:v>0.41700000000000004</c:v>
                </c:pt>
                <c:pt idx="13">
                  <c:v>0.45050000000000001</c:v>
                </c:pt>
                <c:pt idx="14">
                  <c:v>0.48350000000000004</c:v>
                </c:pt>
                <c:pt idx="15">
                  <c:v>0.51700000000000002</c:v>
                </c:pt>
                <c:pt idx="16">
                  <c:v>0.55049999999999999</c:v>
                </c:pt>
                <c:pt idx="17">
                  <c:v>0.58349999999999991</c:v>
                </c:pt>
                <c:pt idx="18">
                  <c:v>0.61699999999999999</c:v>
                </c:pt>
                <c:pt idx="19">
                  <c:v>0.65050000000000008</c:v>
                </c:pt>
                <c:pt idx="20">
                  <c:v>0.68399999999999994</c:v>
                </c:pt>
                <c:pt idx="21">
                  <c:v>0.71750000000000003</c:v>
                </c:pt>
                <c:pt idx="22">
                  <c:v>0.751</c:v>
                </c:pt>
                <c:pt idx="23">
                  <c:v>0.78449999999999998</c:v>
                </c:pt>
                <c:pt idx="24">
                  <c:v>0.8175</c:v>
                </c:pt>
                <c:pt idx="25">
                  <c:v>0.41699999999999998</c:v>
                </c:pt>
              </c:numCache>
            </c:numRef>
          </c:xVal>
          <c:yVal>
            <c:numRef>
              <c:f>Sheet3!$E$2:$E$27</c:f>
              <c:numCache>
                <c:formatCode>0.000</c:formatCode>
                <c:ptCount val="26"/>
                <c:pt idx="0">
                  <c:v>2.0303030303030303</c:v>
                </c:pt>
                <c:pt idx="1">
                  <c:v>1.9705882352941175</c:v>
                </c:pt>
                <c:pt idx="2">
                  <c:v>2.0606060606060606</c:v>
                </c:pt>
                <c:pt idx="3">
                  <c:v>2.0303030303030303</c:v>
                </c:pt>
                <c:pt idx="4">
                  <c:v>2</c:v>
                </c:pt>
                <c:pt idx="5">
                  <c:v>2.0606060606060606</c:v>
                </c:pt>
                <c:pt idx="6">
                  <c:v>2.0294117647058809</c:v>
                </c:pt>
                <c:pt idx="7">
                  <c:v>2.0909090909090926</c:v>
                </c:pt>
                <c:pt idx="8">
                  <c:v>2.0606060606060606</c:v>
                </c:pt>
                <c:pt idx="9">
                  <c:v>2</c:v>
                </c:pt>
                <c:pt idx="10">
                  <c:v>2.0909090909090913</c:v>
                </c:pt>
                <c:pt idx="11">
                  <c:v>2.0606060606060574</c:v>
                </c:pt>
                <c:pt idx="12">
                  <c:v>1.9705882352941209</c:v>
                </c:pt>
                <c:pt idx="13">
                  <c:v>2.0606060606060574</c:v>
                </c:pt>
                <c:pt idx="14">
                  <c:v>2.0303030303030338</c:v>
                </c:pt>
                <c:pt idx="15">
                  <c:v>1.9411764705882353</c:v>
                </c:pt>
                <c:pt idx="16">
                  <c:v>2.0303030303030338</c:v>
                </c:pt>
                <c:pt idx="17">
                  <c:v>1.9696969696969664</c:v>
                </c:pt>
                <c:pt idx="18">
                  <c:v>1.8823529411764706</c:v>
                </c:pt>
                <c:pt idx="19">
                  <c:v>1.9393939393939394</c:v>
                </c:pt>
                <c:pt idx="20">
                  <c:v>1.852941176470591</c:v>
                </c:pt>
                <c:pt idx="21">
                  <c:v>1.8787878787878789</c:v>
                </c:pt>
                <c:pt idx="22">
                  <c:v>1.8235294117646994</c:v>
                </c:pt>
                <c:pt idx="23">
                  <c:v>1.848484848484852</c:v>
                </c:pt>
                <c:pt idx="24">
                  <c:v>1.7878787878787905</c:v>
                </c:pt>
                <c:pt idx="25">
                  <c:v>1.9796163069544366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A-40D1-9D7B-0A165EFE7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754991"/>
        <c:axId val="453752079"/>
      </c:scatterChart>
      <c:valAx>
        <c:axId val="453754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52079"/>
        <c:crosses val="autoZero"/>
        <c:crossBetween val="midCat"/>
      </c:valAx>
      <c:valAx>
        <c:axId val="4537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</a:t>
                </a:r>
                <a:r>
                  <a:rPr lang="en-ZA" baseline="0"/>
                  <a:t>x (m/s)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54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19522661087255"/>
          <c:y val="0.51618000874890635"/>
          <c:w val="0.25357759286174419"/>
          <c:h val="0.253473315835520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Graph of velocity, vy (m/s) over midpoint time interval, t(s)</a:t>
            </a:r>
            <a:endParaRPr lang="en-ZA" sz="1200">
              <a:effectLst/>
            </a:endParaRPr>
          </a:p>
        </c:rich>
      </c:tx>
      <c:layout>
        <c:manualLayout>
          <c:xMode val="edge"/>
          <c:yMode val="edge"/>
          <c:x val="0.1075435203094777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65253303685204E-2"/>
          <c:y val="0.13004629629629633"/>
          <c:w val="0.62483010706833797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vy avg(m/s)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Sheet3!$D$2:$D$27</c:f>
              <c:numCache>
                <c:formatCode>0.000</c:formatCode>
                <c:ptCount val="26"/>
                <c:pt idx="0">
                  <c:v>1.6500000000000001E-2</c:v>
                </c:pt>
                <c:pt idx="1">
                  <c:v>0.05</c:v>
                </c:pt>
                <c:pt idx="2">
                  <c:v>8.3500000000000005E-2</c:v>
                </c:pt>
                <c:pt idx="3">
                  <c:v>0.11650000000000001</c:v>
                </c:pt>
                <c:pt idx="4">
                  <c:v>0.15000000000000002</c:v>
                </c:pt>
                <c:pt idx="5">
                  <c:v>0.1835</c:v>
                </c:pt>
                <c:pt idx="6">
                  <c:v>0.21700000000000003</c:v>
                </c:pt>
                <c:pt idx="7">
                  <c:v>0.2505</c:v>
                </c:pt>
                <c:pt idx="8">
                  <c:v>0.28349999999999997</c:v>
                </c:pt>
                <c:pt idx="9">
                  <c:v>0.317</c:v>
                </c:pt>
                <c:pt idx="10">
                  <c:v>0.35050000000000003</c:v>
                </c:pt>
                <c:pt idx="11">
                  <c:v>0.38350000000000001</c:v>
                </c:pt>
                <c:pt idx="12">
                  <c:v>0.41700000000000004</c:v>
                </c:pt>
                <c:pt idx="13">
                  <c:v>0.45050000000000001</c:v>
                </c:pt>
                <c:pt idx="14">
                  <c:v>0.48350000000000004</c:v>
                </c:pt>
                <c:pt idx="15">
                  <c:v>0.51700000000000002</c:v>
                </c:pt>
                <c:pt idx="16">
                  <c:v>0.55049999999999999</c:v>
                </c:pt>
                <c:pt idx="17">
                  <c:v>0.58349999999999991</c:v>
                </c:pt>
                <c:pt idx="18">
                  <c:v>0.61699999999999999</c:v>
                </c:pt>
                <c:pt idx="19">
                  <c:v>0.65050000000000008</c:v>
                </c:pt>
                <c:pt idx="20">
                  <c:v>0.68399999999999994</c:v>
                </c:pt>
                <c:pt idx="21">
                  <c:v>0.71750000000000003</c:v>
                </c:pt>
                <c:pt idx="22">
                  <c:v>0.751</c:v>
                </c:pt>
                <c:pt idx="23">
                  <c:v>0.78449999999999998</c:v>
                </c:pt>
                <c:pt idx="24">
                  <c:v>0.8175</c:v>
                </c:pt>
                <c:pt idx="25">
                  <c:v>0.41699999999999998</c:v>
                </c:pt>
              </c:numCache>
            </c:numRef>
          </c:xVal>
          <c:yVal>
            <c:numRef>
              <c:f>Sheet3!$F$2:$F$27</c:f>
              <c:numCache>
                <c:formatCode>0.000</c:formatCode>
                <c:ptCount val="26"/>
                <c:pt idx="0">
                  <c:v>2.9696969696969697</c:v>
                </c:pt>
                <c:pt idx="1">
                  <c:v>2.5588235294117645</c:v>
                </c:pt>
                <c:pt idx="2">
                  <c:v>2.2727272727272729</c:v>
                </c:pt>
                <c:pt idx="3">
                  <c:v>1.9090909090909089</c:v>
                </c:pt>
                <c:pt idx="4">
                  <c:v>1.529411764705882</c:v>
                </c:pt>
                <c:pt idx="5">
                  <c:v>1.2424242424242418</c:v>
                </c:pt>
                <c:pt idx="6">
                  <c:v>0.82352941176470651</c:v>
                </c:pt>
                <c:pt idx="7">
                  <c:v>0.51515151515151558</c:v>
                </c:pt>
                <c:pt idx="8">
                  <c:v>0.12121212121212141</c:v>
                </c:pt>
                <c:pt idx="9">
                  <c:v>-0.20588235294117646</c:v>
                </c:pt>
                <c:pt idx="10">
                  <c:v>-0.57575757575757669</c:v>
                </c:pt>
                <c:pt idx="11">
                  <c:v>-0.90909090909090906</c:v>
                </c:pt>
                <c:pt idx="12">
                  <c:v>-1.2352941176470591</c:v>
                </c:pt>
                <c:pt idx="13">
                  <c:v>-1.6060606060606044</c:v>
                </c:pt>
                <c:pt idx="14">
                  <c:v>-1.9696969696969713</c:v>
                </c:pt>
                <c:pt idx="15">
                  <c:v>-2.2352941176470571</c:v>
                </c:pt>
                <c:pt idx="16">
                  <c:v>-2.6363636363636429</c:v>
                </c:pt>
                <c:pt idx="17">
                  <c:v>-2.9393939393939363</c:v>
                </c:pt>
                <c:pt idx="18">
                  <c:v>-3.2058823529411735</c:v>
                </c:pt>
                <c:pt idx="19">
                  <c:v>-3.5757575757575726</c:v>
                </c:pt>
                <c:pt idx="20">
                  <c:v>-3.76470588235295</c:v>
                </c:pt>
                <c:pt idx="21">
                  <c:v>-4.1818181818181781</c:v>
                </c:pt>
                <c:pt idx="22">
                  <c:v>-4.323529411764703</c:v>
                </c:pt>
                <c:pt idx="23">
                  <c:v>-4.727272727272724</c:v>
                </c:pt>
                <c:pt idx="24">
                  <c:v>-5.0606060606060712</c:v>
                </c:pt>
                <c:pt idx="25">
                  <c:v>-1.1678657074340528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1-4717-853B-73BFD18F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324527"/>
        <c:axId val="738327023"/>
      </c:scatterChart>
      <c:valAx>
        <c:axId val="73832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27023"/>
        <c:crosses val="autoZero"/>
        <c:crossBetween val="midCat"/>
      </c:valAx>
      <c:valAx>
        <c:axId val="73832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</a:t>
                </a:r>
                <a:r>
                  <a:rPr lang="en-ZA" baseline="0"/>
                  <a:t>y (m/s)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2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240179352580929"/>
          <c:y val="0.48226778944298632"/>
          <c:w val="0.21093153980752408"/>
          <c:h val="0.318288130650335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Graph</a:t>
            </a:r>
            <a:r>
              <a:rPr lang="en-US" sz="1200" baseline="0"/>
              <a:t> of acceleration, ay (m/s2) over time interval, t(s)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Sheet3!$H$1</c:f>
              <c:strCache>
                <c:ptCount val="1"/>
                <c:pt idx="0">
                  <c:v>ay avg (m/s2)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Sheet3!$G$2:$G$27</c:f>
              <c:numCache>
                <c:formatCode>0.000</c:formatCode>
                <c:ptCount val="26"/>
                <c:pt idx="0">
                  <c:v>3.3250000000000002E-2</c:v>
                </c:pt>
                <c:pt idx="1">
                  <c:v>6.6750000000000004E-2</c:v>
                </c:pt>
                <c:pt idx="2">
                  <c:v>0.1</c:v>
                </c:pt>
                <c:pt idx="3">
                  <c:v>0.13325000000000001</c:v>
                </c:pt>
                <c:pt idx="4">
                  <c:v>0.16675000000000001</c:v>
                </c:pt>
                <c:pt idx="5">
                  <c:v>0.20025000000000001</c:v>
                </c:pt>
                <c:pt idx="6">
                  <c:v>0.23375000000000001</c:v>
                </c:pt>
                <c:pt idx="7">
                  <c:v>0.26700000000000002</c:v>
                </c:pt>
                <c:pt idx="8">
                  <c:v>0.30025000000000002</c:v>
                </c:pt>
                <c:pt idx="9">
                  <c:v>0.33374999999999999</c:v>
                </c:pt>
                <c:pt idx="10">
                  <c:v>0.36699999999999999</c:v>
                </c:pt>
                <c:pt idx="11">
                  <c:v>0.40024999999999999</c:v>
                </c:pt>
                <c:pt idx="12">
                  <c:v>0.43375000000000002</c:v>
                </c:pt>
                <c:pt idx="13">
                  <c:v>0.46700000000000003</c:v>
                </c:pt>
                <c:pt idx="14">
                  <c:v>0.50025000000000008</c:v>
                </c:pt>
                <c:pt idx="15">
                  <c:v>0.53374999999999995</c:v>
                </c:pt>
                <c:pt idx="16">
                  <c:v>0.56699999999999995</c:v>
                </c:pt>
                <c:pt idx="17">
                  <c:v>0.60024999999999995</c:v>
                </c:pt>
                <c:pt idx="18">
                  <c:v>0.63375000000000004</c:v>
                </c:pt>
                <c:pt idx="19">
                  <c:v>0.66725000000000001</c:v>
                </c:pt>
                <c:pt idx="20">
                  <c:v>0.70074999999999998</c:v>
                </c:pt>
                <c:pt idx="21">
                  <c:v>0.73425000000000007</c:v>
                </c:pt>
                <c:pt idx="22">
                  <c:v>0.76774999999999993</c:v>
                </c:pt>
                <c:pt idx="23">
                  <c:v>0.80099999999999993</c:v>
                </c:pt>
                <c:pt idx="24">
                  <c:v>0.61724999999999997</c:v>
                </c:pt>
                <c:pt idx="25">
                  <c:v>0.20849999999999999</c:v>
                </c:pt>
              </c:numCache>
            </c:numRef>
          </c:xVal>
          <c:yVal>
            <c:numRef>
              <c:f>Sheet3!$H$2:$H$27</c:f>
              <c:numCache>
                <c:formatCode>0.000</c:formatCode>
                <c:ptCount val="26"/>
                <c:pt idx="0">
                  <c:v>-12.264878814483737</c:v>
                </c:pt>
                <c:pt idx="1">
                  <c:v>-8.6043986972779418</c:v>
                </c:pt>
                <c:pt idx="2">
                  <c:v>-10.936431989063578</c:v>
                </c:pt>
                <c:pt idx="3">
                  <c:v>-11.333705802538116</c:v>
                </c:pt>
                <c:pt idx="4">
                  <c:v>-8.5667917098997091</c:v>
                </c:pt>
                <c:pt idx="5">
                  <c:v>-12.504323303269709</c:v>
                </c:pt>
                <c:pt idx="6">
                  <c:v>-9.2745232064117573</c:v>
                </c:pt>
                <c:pt idx="7">
                  <c:v>-11.847801321485537</c:v>
                </c:pt>
                <c:pt idx="8">
                  <c:v>-9.7640141538297947</c:v>
                </c:pt>
                <c:pt idx="9">
                  <c:v>-11.124066851621059</c:v>
                </c:pt>
                <c:pt idx="10">
                  <c:v>-10.025062656641575</c:v>
                </c:pt>
                <c:pt idx="11">
                  <c:v>-9.7374092106313359</c:v>
                </c:pt>
                <c:pt idx="12">
                  <c:v>-11.150871831986324</c:v>
                </c:pt>
                <c:pt idx="13">
                  <c:v>-10.936431989063646</c:v>
                </c:pt>
                <c:pt idx="14">
                  <c:v>-7.9282730731369222</c:v>
                </c:pt>
                <c:pt idx="15">
                  <c:v>-12.062241164408595</c:v>
                </c:pt>
                <c:pt idx="16">
                  <c:v>-9.1136933242193514</c:v>
                </c:pt>
                <c:pt idx="17">
                  <c:v>-7.9548780163354182</c:v>
                </c:pt>
                <c:pt idx="18">
                  <c:v>-11.041051427355205</c:v>
                </c:pt>
                <c:pt idx="19">
                  <c:v>-5.6402479580709723</c:v>
                </c:pt>
                <c:pt idx="20">
                  <c:v>-12.451113416872449</c:v>
                </c:pt>
                <c:pt idx="21">
                  <c:v>-4.2301859685529983</c:v>
                </c:pt>
                <c:pt idx="22">
                  <c:v>-12.14265610550439</c:v>
                </c:pt>
                <c:pt idx="23">
                  <c:v>1.8140589569161758</c:v>
                </c:pt>
                <c:pt idx="24">
                  <c:v>-9.5235237998092206</c:v>
                </c:pt>
                <c:pt idx="25">
                  <c:v>-5.6012743761825075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B-4286-AB26-2EB05658C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699023"/>
        <c:axId val="692702767"/>
      </c:scatterChart>
      <c:valAx>
        <c:axId val="692699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702767"/>
        <c:crosses val="autoZero"/>
        <c:crossBetween val="midCat"/>
      </c:valAx>
      <c:valAx>
        <c:axId val="69270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ay</a:t>
                </a:r>
                <a:r>
                  <a:rPr lang="en-ZA" baseline="0"/>
                  <a:t> (m/s2)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699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109537</xdr:colOff>
      <xdr:row>0</xdr:row>
      <xdr:rowOff>0</xdr:rowOff>
    </xdr:from>
    <xdr:to>
      <xdr:col>14</xdr:col>
      <xdr:colOff>414337</xdr:colOff>
      <xdr:row>14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56DEE6-1505-4FD2-96C6-179E7A450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495300</xdr:colOff>
      <xdr:row>0</xdr:row>
      <xdr:rowOff>0</xdr:rowOff>
    </xdr:from>
    <xdr:to>
      <xdr:col>22</xdr:col>
      <xdr:colOff>190500</xdr:colOff>
      <xdr:row>14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6262A9-AAC8-4CEA-A7D0-8AFAD668B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123825</xdr:colOff>
      <xdr:row>14</xdr:row>
      <xdr:rowOff>100011</xdr:rowOff>
    </xdr:from>
    <xdr:to>
      <xdr:col>15</xdr:col>
      <xdr:colOff>219075</xdr:colOff>
      <xdr:row>30</xdr:row>
      <xdr:rowOff>180974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F6FCC8-E9E5-4B8D-AF93-BD179E5A1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111125</xdr:colOff>
      <xdr:row>31</xdr:row>
      <xdr:rowOff>158750</xdr:rowOff>
    </xdr:from>
    <xdr:to>
      <xdr:col>15</xdr:col>
      <xdr:colOff>222250</xdr:colOff>
      <xdr:row>46</xdr:row>
      <xdr:rowOff>69850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E7A5B10-98F8-480C-9AFE-1706737AF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142874</xdr:colOff>
      <xdr:row>46</xdr:row>
      <xdr:rowOff>120650</xdr:rowOff>
    </xdr:from>
    <xdr:to>
      <xdr:col>15</xdr:col>
      <xdr:colOff>69849</xdr:colOff>
      <xdr:row>61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6C30F23-12FD-443A-8EBA-A4A036131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441324</xdr:colOff>
      <xdr:row>4</xdr:row>
      <xdr:rowOff>63500</xdr:rowOff>
    </xdr:from>
    <xdr:to>
      <xdr:col>17</xdr:col>
      <xdr:colOff>260349</xdr:colOff>
      <xdr:row>19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C4431-EA11-418A-AFCE-A732800CA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581024</xdr:colOff>
      <xdr:row>2</xdr:row>
      <xdr:rowOff>127000</xdr:rowOff>
    </xdr:from>
    <xdr:to>
      <xdr:col>8</xdr:col>
      <xdr:colOff>228599</xdr:colOff>
      <xdr:row>17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96C33E-BF18-4135-913B-2494984B9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136525</xdr:colOff>
      <xdr:row>2</xdr:row>
      <xdr:rowOff>12700</xdr:rowOff>
    </xdr:from>
    <xdr:to>
      <xdr:col>8</xdr:col>
      <xdr:colOff>41275</xdr:colOff>
      <xdr:row>16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E2A772-A649-4050-B62A-5733D0E6C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C33B-E026-4B7C-BDE4-C4B0CFBFC77D}">
  <dimension ref="A1:F27"/>
  <sheetViews>
    <sheetView topLeftCell="A31" zoomScale="70" zoomScaleNormal="70" workbookViewId="0">
      <selection activeCell="E27" sqref="E27"/>
    </sheetView>
  </sheetViews>
  <sheetFormatPr defaultRowHeight="14.5" x14ac:dyDescent="0.35"/>
  <cols>
    <col min="1" max="2" width="8.7265625" style="1"/>
    <col min="3" max="5" width="10.1796875" style="1" customWidth="1"/>
    <col min="6" max="7" width="9.1796875" style="1"/>
    <col min="8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35">
      <c r="A2" s="1">
        <v>0</v>
      </c>
      <c r="B2" s="1">
        <v>0</v>
      </c>
      <c r="C2" s="1">
        <v>0</v>
      </c>
    </row>
    <row r="3" spans="1:6" x14ac:dyDescent="0.35">
      <c r="A3" s="1">
        <v>3.3000000000000002E-2</v>
      </c>
      <c r="B3" s="1">
        <v>6.7000000000000004E-2</v>
      </c>
      <c r="C3" s="1">
        <v>9.8000000000000004E-2</v>
      </c>
      <c r="D3" s="1">
        <v>0.05</v>
      </c>
      <c r="E3" s="1">
        <f>B3/A3</f>
        <v>2.0303030303030303</v>
      </c>
      <c r="F3" s="1">
        <f>C3/A3</f>
        <v>2.9696969696969697</v>
      </c>
    </row>
    <row r="4" spans="1:6" x14ac:dyDescent="0.35">
      <c r="A4" s="1">
        <v>6.7000000000000004E-2</v>
      </c>
      <c r="B4" s="1">
        <v>0.13400000000000001</v>
      </c>
      <c r="C4" s="1">
        <v>0.185</v>
      </c>
      <c r="D4" s="1">
        <v>8.3500000000000005E-2</v>
      </c>
      <c r="E4" s="1">
        <f>B4/A4</f>
        <v>2</v>
      </c>
      <c r="F4" s="1">
        <f>C4/A4</f>
        <v>2.761194029850746</v>
      </c>
    </row>
    <row r="5" spans="1:6" x14ac:dyDescent="0.35">
      <c r="A5" s="1">
        <v>0.1</v>
      </c>
      <c r="B5" s="1">
        <v>0.20200000000000001</v>
      </c>
      <c r="C5" s="1">
        <v>0.26</v>
      </c>
      <c r="D5" s="1">
        <v>0.11650000000000001</v>
      </c>
      <c r="E5" s="1">
        <f>B5/A5</f>
        <v>2.02</v>
      </c>
      <c r="F5" s="1">
        <f>C5/A5</f>
        <v>2.6</v>
      </c>
    </row>
    <row r="6" spans="1:6" x14ac:dyDescent="0.35">
      <c r="A6" s="1">
        <v>0.13300000000000001</v>
      </c>
      <c r="B6" s="1">
        <v>0.26900000000000002</v>
      </c>
      <c r="C6" s="1">
        <v>0.32300000000000001</v>
      </c>
      <c r="D6" s="1">
        <v>0.15000000000000002</v>
      </c>
      <c r="E6" s="1">
        <f>B6/A6</f>
        <v>2.0225563909774436</v>
      </c>
      <c r="F6" s="1">
        <f>C6/A6</f>
        <v>2.4285714285714284</v>
      </c>
    </row>
    <row r="7" spans="1:6" x14ac:dyDescent="0.35">
      <c r="A7" s="1">
        <v>0.16700000000000001</v>
      </c>
      <c r="B7" s="1">
        <v>0.33700000000000002</v>
      </c>
      <c r="C7" s="1">
        <v>0.375</v>
      </c>
      <c r="D7" s="1">
        <v>0.1835</v>
      </c>
      <c r="E7" s="1">
        <f>B7/A7</f>
        <v>2.0179640718562872</v>
      </c>
      <c r="F7" s="1">
        <f>C7/A7</f>
        <v>2.2455089820359282</v>
      </c>
    </row>
    <row r="8" spans="1:6" x14ac:dyDescent="0.35">
      <c r="A8" s="1">
        <v>0.2</v>
      </c>
      <c r="B8" s="1">
        <v>0.40500000000000003</v>
      </c>
      <c r="C8" s="1">
        <v>0.41599999999999998</v>
      </c>
      <c r="D8" s="1">
        <v>0.21700000000000003</v>
      </c>
      <c r="E8" s="1">
        <f>B8/A8</f>
        <v>2.0249999999999999</v>
      </c>
      <c r="F8" s="1">
        <f>C8/A8</f>
        <v>2.0799999999999996</v>
      </c>
    </row>
    <row r="9" spans="1:6" x14ac:dyDescent="0.35">
      <c r="A9" s="1">
        <v>0.23400000000000001</v>
      </c>
      <c r="B9" s="1">
        <v>0.47399999999999998</v>
      </c>
      <c r="C9" s="1">
        <v>0.44400000000000001</v>
      </c>
      <c r="D9" s="1">
        <v>0.2505</v>
      </c>
      <c r="E9" s="1">
        <f>B9/A9</f>
        <v>2.0256410256410255</v>
      </c>
      <c r="F9" s="1">
        <f>C9/A9</f>
        <v>1.8974358974358974</v>
      </c>
    </row>
    <row r="10" spans="1:6" x14ac:dyDescent="0.35">
      <c r="A10" s="1">
        <v>0.26700000000000002</v>
      </c>
      <c r="B10" s="1">
        <v>0.54300000000000004</v>
      </c>
      <c r="C10" s="1">
        <v>0.46100000000000002</v>
      </c>
      <c r="D10" s="1">
        <v>0.28349999999999997</v>
      </c>
      <c r="E10" s="1">
        <f>B10/A10</f>
        <v>2.0337078651685392</v>
      </c>
      <c r="F10" s="1">
        <f>C10/A10</f>
        <v>1.7265917602996255</v>
      </c>
    </row>
    <row r="11" spans="1:6" x14ac:dyDescent="0.35">
      <c r="A11" s="1">
        <v>0.3</v>
      </c>
      <c r="B11" s="1">
        <v>0.61099999999999999</v>
      </c>
      <c r="C11" s="1">
        <v>0.46500000000000002</v>
      </c>
      <c r="D11" s="1">
        <v>0.317</v>
      </c>
      <c r="E11" s="1">
        <f>B11/A11</f>
        <v>2.0366666666666666</v>
      </c>
      <c r="F11" s="1">
        <f>C11/A11</f>
        <v>1.55</v>
      </c>
    </row>
    <row r="12" spans="1:6" x14ac:dyDescent="0.35">
      <c r="A12" s="1">
        <v>0.33400000000000002</v>
      </c>
      <c r="B12" s="1">
        <v>0.67900000000000005</v>
      </c>
      <c r="C12" s="1">
        <v>0.45800000000000002</v>
      </c>
      <c r="D12" s="1">
        <v>0.35050000000000003</v>
      </c>
      <c r="E12" s="1">
        <f>B12/A12</f>
        <v>2.032934131736527</v>
      </c>
      <c r="F12" s="1">
        <f>C12/A12</f>
        <v>1.3712574850299402</v>
      </c>
    </row>
    <row r="13" spans="1:6" x14ac:dyDescent="0.35">
      <c r="A13" s="1">
        <v>0.36699999999999999</v>
      </c>
      <c r="B13" s="1">
        <v>0.748</v>
      </c>
      <c r="C13" s="1">
        <v>0.439</v>
      </c>
      <c r="D13" s="1">
        <v>0.38350000000000001</v>
      </c>
      <c r="E13" s="1">
        <f>B13/A13</f>
        <v>2.0381471389645776</v>
      </c>
      <c r="F13" s="1">
        <f>C13/A13</f>
        <v>1.1961852861035422</v>
      </c>
    </row>
    <row r="14" spans="1:6" x14ac:dyDescent="0.35">
      <c r="A14" s="1">
        <v>0.4</v>
      </c>
      <c r="B14" s="1">
        <v>0.81599999999999995</v>
      </c>
      <c r="C14" s="1">
        <v>0.40899999999999997</v>
      </c>
      <c r="D14" s="1">
        <v>0.41700000000000004</v>
      </c>
      <c r="E14" s="1">
        <f>B14/A14</f>
        <v>2.0399999999999996</v>
      </c>
      <c r="F14" s="1">
        <f>C14/A14</f>
        <v>1.0225</v>
      </c>
    </row>
    <row r="15" spans="1:6" x14ac:dyDescent="0.35">
      <c r="A15" s="1">
        <v>0.434</v>
      </c>
      <c r="B15" s="1">
        <v>0.88300000000000001</v>
      </c>
      <c r="C15" s="1">
        <v>0.36699999999999999</v>
      </c>
      <c r="D15" s="1">
        <v>0.45050000000000001</v>
      </c>
      <c r="E15" s="1">
        <f>B15/A15</f>
        <v>2.0345622119815667</v>
      </c>
      <c r="F15" s="1">
        <f>C15/A15</f>
        <v>0.84562211981566815</v>
      </c>
    </row>
    <row r="16" spans="1:6" x14ac:dyDescent="0.35">
      <c r="A16" s="1">
        <v>0.46700000000000003</v>
      </c>
      <c r="B16" s="1">
        <v>0.95099999999999996</v>
      </c>
      <c r="C16" s="1">
        <v>0.314</v>
      </c>
      <c r="D16" s="1">
        <v>0.48350000000000004</v>
      </c>
      <c r="E16" s="1">
        <f>B16/A16</f>
        <v>2.0364025695931476</v>
      </c>
      <c r="F16" s="1">
        <f>C16/A16</f>
        <v>0.6723768736616702</v>
      </c>
    </row>
    <row r="17" spans="1:6" x14ac:dyDescent="0.35">
      <c r="A17" s="1">
        <v>0.5</v>
      </c>
      <c r="B17" s="1">
        <v>1.018</v>
      </c>
      <c r="C17" s="1">
        <v>0.249</v>
      </c>
      <c r="D17" s="1">
        <v>0.51700000000000002</v>
      </c>
      <c r="E17" s="1">
        <f>B17/A17</f>
        <v>2.036</v>
      </c>
      <c r="F17" s="1">
        <f>C17/A17</f>
        <v>0.498</v>
      </c>
    </row>
    <row r="18" spans="1:6" x14ac:dyDescent="0.35">
      <c r="A18" s="1">
        <v>0.53400000000000003</v>
      </c>
      <c r="B18" s="1">
        <v>1.0840000000000001</v>
      </c>
      <c r="C18" s="1">
        <v>0.17299999999999999</v>
      </c>
      <c r="D18" s="1">
        <v>0.55049999999999999</v>
      </c>
      <c r="E18" s="1">
        <f>B18/A18</f>
        <v>2.0299625468164795</v>
      </c>
      <c r="F18" s="1">
        <f>C18/A18</f>
        <v>0.32397003745318348</v>
      </c>
    </row>
    <row r="19" spans="1:6" x14ac:dyDescent="0.35">
      <c r="A19" s="1">
        <v>0.56699999999999995</v>
      </c>
      <c r="B19" s="1">
        <v>1.151</v>
      </c>
      <c r="C19" s="1">
        <v>8.5999999999999993E-2</v>
      </c>
      <c r="D19" s="1">
        <v>0.58349999999999991</v>
      </c>
      <c r="E19" s="1">
        <f>B19/A19</f>
        <v>2.029982363315697</v>
      </c>
      <c r="F19" s="1">
        <f>C19/A19</f>
        <v>0.15167548500881833</v>
      </c>
    </row>
    <row r="20" spans="1:6" x14ac:dyDescent="0.35">
      <c r="A20" s="1">
        <v>0.6</v>
      </c>
      <c r="B20" s="1">
        <v>1.216</v>
      </c>
      <c r="C20" s="1">
        <v>-1.0999999999999999E-2</v>
      </c>
      <c r="D20" s="1">
        <v>0.61699999999999999</v>
      </c>
      <c r="E20" s="1">
        <f>B20/A20</f>
        <v>2.0266666666666668</v>
      </c>
      <c r="F20" s="1">
        <f>C20/A20</f>
        <v>-1.8333333333333333E-2</v>
      </c>
    </row>
    <row r="21" spans="1:6" x14ac:dyDescent="0.35">
      <c r="A21" s="1">
        <v>0.63400000000000001</v>
      </c>
      <c r="B21" s="1">
        <v>1.28</v>
      </c>
      <c r="C21" s="1">
        <v>-0.12</v>
      </c>
      <c r="D21" s="1">
        <v>0.65050000000000008</v>
      </c>
      <c r="E21" s="1">
        <f>B21/A21</f>
        <v>2.0189274447949526</v>
      </c>
      <c r="F21" s="1">
        <f>C21/A21</f>
        <v>-0.1892744479495268</v>
      </c>
    </row>
    <row r="22" spans="1:6" x14ac:dyDescent="0.35">
      <c r="A22" s="1">
        <v>0.66700000000000004</v>
      </c>
      <c r="B22" s="1">
        <v>1.3440000000000001</v>
      </c>
      <c r="C22" s="1">
        <v>-0.23799999999999999</v>
      </c>
      <c r="D22" s="1">
        <v>0.68399999999999994</v>
      </c>
      <c r="E22" s="1">
        <f>B22/A22</f>
        <v>2.0149925037481258</v>
      </c>
      <c r="F22" s="1">
        <f>C22/A22</f>
        <v>-0.35682158920539725</v>
      </c>
    </row>
    <row r="23" spans="1:6" x14ac:dyDescent="0.35">
      <c r="A23" s="1">
        <v>0.70099999999999996</v>
      </c>
      <c r="B23" s="1">
        <v>1.407</v>
      </c>
      <c r="C23" s="1">
        <v>-0.36599999999999999</v>
      </c>
      <c r="D23" s="1">
        <v>0.71750000000000003</v>
      </c>
      <c r="E23" s="1">
        <f>B23/A23</f>
        <v>2.007132667617689</v>
      </c>
      <c r="F23" s="1">
        <f>C23/A23</f>
        <v>-0.522111269614836</v>
      </c>
    </row>
    <row r="24" spans="1:6" x14ac:dyDescent="0.35">
      <c r="A24" s="1">
        <v>0.73399999999999999</v>
      </c>
      <c r="B24" s="1">
        <v>1.4690000000000001</v>
      </c>
      <c r="C24" s="1">
        <v>-0.504</v>
      </c>
      <c r="D24" s="1">
        <v>0.751</v>
      </c>
      <c r="E24" s="1">
        <f>B24/A24</f>
        <v>2.0013623978201638</v>
      </c>
      <c r="F24" s="1">
        <f>C24/A24</f>
        <v>-0.68664850136239786</v>
      </c>
    </row>
    <row r="25" spans="1:6" x14ac:dyDescent="0.35">
      <c r="A25" s="1">
        <v>0.76800000000000002</v>
      </c>
      <c r="B25" s="1">
        <v>1.5309999999999999</v>
      </c>
      <c r="C25" s="1">
        <v>-0.65100000000000002</v>
      </c>
      <c r="D25" s="1">
        <v>0.78449999999999998</v>
      </c>
      <c r="E25" s="1">
        <f>B25/A25</f>
        <v>1.9934895833333333</v>
      </c>
      <c r="F25" s="1">
        <f>C25/A25</f>
        <v>-0.84765625</v>
      </c>
    </row>
    <row r="26" spans="1:6" x14ac:dyDescent="0.35">
      <c r="A26" s="1">
        <v>0.80100000000000005</v>
      </c>
      <c r="B26" s="1">
        <v>1.5920000000000001</v>
      </c>
      <c r="C26" s="1">
        <v>-0.80700000000000005</v>
      </c>
      <c r="D26" s="1">
        <v>0.8175</v>
      </c>
      <c r="E26" s="1">
        <f>B26/A26</f>
        <v>1.9875156054931336</v>
      </c>
      <c r="F26" s="1">
        <f>C26/A26</f>
        <v>-1.0074906367041199</v>
      </c>
    </row>
    <row r="27" spans="1:6" x14ac:dyDescent="0.35">
      <c r="A27" s="1">
        <v>0.83399999999999996</v>
      </c>
      <c r="B27" s="1">
        <v>1.651</v>
      </c>
      <c r="C27" s="1">
        <v>-0.97399999999999998</v>
      </c>
      <c r="D27" s="1">
        <v>0.41699999999999998</v>
      </c>
      <c r="F27" s="1">
        <f>C27/A27</f>
        <v>-1.1678657074340528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637C-835E-49B0-AAFA-07F5DB95EC52}">
  <dimension ref="A1:H29"/>
  <sheetViews>
    <sheetView tabSelected="1" workbookViewId="0">
      <selection activeCell="H29" sqref="H29"/>
    </sheetView>
  </sheetViews>
  <sheetFormatPr defaultRowHeight="14.5" x14ac:dyDescent="0.35"/>
  <cols>
    <col min="1" max="2" width="8.7265625" style="1"/>
    <col min="3" max="3" width="10.1796875" style="1" customWidth="1"/>
    <col min="5" max="5" width="10" customWidth="1"/>
    <col min="6" max="6" width="9.81640625" customWidth="1"/>
    <col min="8" max="8" width="10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35">
      <c r="A2" s="1">
        <v>0</v>
      </c>
      <c r="B2" s="1">
        <v>0</v>
      </c>
      <c r="C2" s="1">
        <v>0</v>
      </c>
      <c r="D2" s="1">
        <f>(A2+A3)/2</f>
        <v>1.6500000000000001E-2</v>
      </c>
      <c r="E2" s="1">
        <f>(B2-B3)/(A2-A3)</f>
        <v>2.0303030303030303</v>
      </c>
      <c r="F2" s="1">
        <f>(C2-C3)/(A2-A3)</f>
        <v>2.9696969696969697</v>
      </c>
      <c r="G2" s="1">
        <f>(D2+D3)/2</f>
        <v>3.3250000000000002E-2</v>
      </c>
      <c r="H2" s="1">
        <f>(F2-F3)/(G2-G3)</f>
        <v>-12.264878814483737</v>
      </c>
    </row>
    <row r="3" spans="1:8" x14ac:dyDescent="0.35">
      <c r="A3" s="1">
        <v>3.3000000000000002E-2</v>
      </c>
      <c r="B3" s="1">
        <v>6.7000000000000004E-2</v>
      </c>
      <c r="C3" s="1">
        <v>9.8000000000000004E-2</v>
      </c>
      <c r="D3" s="1">
        <f t="shared" ref="D3:D27" si="0">(A3+A4)/2</f>
        <v>0.05</v>
      </c>
      <c r="E3" s="1">
        <f t="shared" ref="E3:E27" si="1">(B3-B4)/(A3-A4)</f>
        <v>1.9705882352941175</v>
      </c>
      <c r="F3" s="1">
        <f t="shared" ref="F3:F27" si="2">(C3-C4)/(A3-A4)</f>
        <v>2.5588235294117645</v>
      </c>
      <c r="G3" s="1">
        <f t="shared" ref="G3:G27" si="3">(D3+D4)/2</f>
        <v>6.6750000000000004E-2</v>
      </c>
      <c r="H3" s="1">
        <f t="shared" ref="H3:H27" si="4">(F3-F4)/(G3-G4)</f>
        <v>-8.6043986972779418</v>
      </c>
    </row>
    <row r="4" spans="1:8" x14ac:dyDescent="0.35">
      <c r="A4" s="1">
        <v>6.7000000000000004E-2</v>
      </c>
      <c r="B4" s="1">
        <v>0.13400000000000001</v>
      </c>
      <c r="C4" s="1">
        <v>0.185</v>
      </c>
      <c r="D4" s="1">
        <f t="shared" si="0"/>
        <v>8.3500000000000005E-2</v>
      </c>
      <c r="E4" s="1">
        <f t="shared" si="1"/>
        <v>2.0606060606060606</v>
      </c>
      <c r="F4" s="1">
        <f t="shared" si="2"/>
        <v>2.2727272727272729</v>
      </c>
      <c r="G4" s="1">
        <f t="shared" si="3"/>
        <v>0.1</v>
      </c>
      <c r="H4" s="1">
        <f t="shared" si="4"/>
        <v>-10.936431989063578</v>
      </c>
    </row>
    <row r="5" spans="1:8" x14ac:dyDescent="0.35">
      <c r="A5" s="1">
        <v>0.1</v>
      </c>
      <c r="B5" s="1">
        <v>0.20200000000000001</v>
      </c>
      <c r="C5" s="1">
        <v>0.26</v>
      </c>
      <c r="D5" s="1">
        <f t="shared" si="0"/>
        <v>0.11650000000000001</v>
      </c>
      <c r="E5" s="1">
        <f t="shared" si="1"/>
        <v>2.0303030303030303</v>
      </c>
      <c r="F5" s="1">
        <f t="shared" si="2"/>
        <v>1.9090909090909089</v>
      </c>
      <c r="G5" s="1">
        <f t="shared" si="3"/>
        <v>0.13325000000000001</v>
      </c>
      <c r="H5" s="1">
        <f t="shared" si="4"/>
        <v>-11.333705802538116</v>
      </c>
    </row>
    <row r="6" spans="1:8" x14ac:dyDescent="0.35">
      <c r="A6" s="1">
        <v>0.13300000000000001</v>
      </c>
      <c r="B6" s="1">
        <v>0.26900000000000002</v>
      </c>
      <c r="C6" s="1">
        <v>0.32300000000000001</v>
      </c>
      <c r="D6" s="1">
        <f t="shared" si="0"/>
        <v>0.15000000000000002</v>
      </c>
      <c r="E6" s="1">
        <f t="shared" si="1"/>
        <v>2</v>
      </c>
      <c r="F6" s="1">
        <f t="shared" si="2"/>
        <v>1.529411764705882</v>
      </c>
      <c r="G6" s="1">
        <f t="shared" si="3"/>
        <v>0.16675000000000001</v>
      </c>
      <c r="H6" s="1">
        <f t="shared" si="4"/>
        <v>-8.5667917098997091</v>
      </c>
    </row>
    <row r="7" spans="1:8" x14ac:dyDescent="0.35">
      <c r="A7" s="1">
        <v>0.16700000000000001</v>
      </c>
      <c r="B7" s="1">
        <v>0.33700000000000002</v>
      </c>
      <c r="C7" s="1">
        <v>0.375</v>
      </c>
      <c r="D7" s="1">
        <f t="shared" si="0"/>
        <v>0.1835</v>
      </c>
      <c r="E7" s="1">
        <f t="shared" si="1"/>
        <v>2.0606060606060606</v>
      </c>
      <c r="F7" s="1">
        <f t="shared" si="2"/>
        <v>1.2424242424242418</v>
      </c>
      <c r="G7" s="1">
        <f t="shared" si="3"/>
        <v>0.20025000000000001</v>
      </c>
      <c r="H7" s="1">
        <f t="shared" si="4"/>
        <v>-12.504323303269709</v>
      </c>
    </row>
    <row r="8" spans="1:8" x14ac:dyDescent="0.35">
      <c r="A8" s="1">
        <v>0.2</v>
      </c>
      <c r="B8" s="1">
        <v>0.40500000000000003</v>
      </c>
      <c r="C8" s="1">
        <v>0.41599999999999998</v>
      </c>
      <c r="D8" s="1">
        <f t="shared" si="0"/>
        <v>0.21700000000000003</v>
      </c>
      <c r="E8" s="1">
        <f t="shared" si="1"/>
        <v>2.0294117647058809</v>
      </c>
      <c r="F8" s="1">
        <f t="shared" si="2"/>
        <v>0.82352941176470651</v>
      </c>
      <c r="G8" s="1">
        <f t="shared" si="3"/>
        <v>0.23375000000000001</v>
      </c>
      <c r="H8" s="1">
        <f t="shared" si="4"/>
        <v>-9.2745232064117573</v>
      </c>
    </row>
    <row r="9" spans="1:8" x14ac:dyDescent="0.35">
      <c r="A9" s="1">
        <v>0.23400000000000001</v>
      </c>
      <c r="B9" s="1">
        <v>0.47399999999999998</v>
      </c>
      <c r="C9" s="1">
        <v>0.44400000000000001</v>
      </c>
      <c r="D9" s="1">
        <f t="shared" si="0"/>
        <v>0.2505</v>
      </c>
      <c r="E9" s="1">
        <f t="shared" si="1"/>
        <v>2.0909090909090926</v>
      </c>
      <c r="F9" s="1">
        <f t="shared" si="2"/>
        <v>0.51515151515151558</v>
      </c>
      <c r="G9" s="1">
        <f t="shared" si="3"/>
        <v>0.26700000000000002</v>
      </c>
      <c r="H9" s="1">
        <f t="shared" si="4"/>
        <v>-11.847801321485537</v>
      </c>
    </row>
    <row r="10" spans="1:8" x14ac:dyDescent="0.35">
      <c r="A10" s="1">
        <v>0.26700000000000002</v>
      </c>
      <c r="B10" s="1">
        <v>0.54300000000000004</v>
      </c>
      <c r="C10" s="1">
        <v>0.46100000000000002</v>
      </c>
      <c r="D10" s="1">
        <f t="shared" si="0"/>
        <v>0.28349999999999997</v>
      </c>
      <c r="E10" s="1">
        <f t="shared" si="1"/>
        <v>2.0606060606060606</v>
      </c>
      <c r="F10" s="1">
        <f t="shared" si="2"/>
        <v>0.12121212121212141</v>
      </c>
      <c r="G10" s="1">
        <f t="shared" si="3"/>
        <v>0.30025000000000002</v>
      </c>
      <c r="H10" s="1">
        <f t="shared" si="4"/>
        <v>-9.7640141538297947</v>
      </c>
    </row>
    <row r="11" spans="1:8" x14ac:dyDescent="0.35">
      <c r="A11" s="1">
        <v>0.3</v>
      </c>
      <c r="B11" s="1">
        <v>0.61099999999999999</v>
      </c>
      <c r="C11" s="1">
        <v>0.46500000000000002</v>
      </c>
      <c r="D11" s="1">
        <f t="shared" si="0"/>
        <v>0.317</v>
      </c>
      <c r="E11" s="1">
        <f t="shared" si="1"/>
        <v>2</v>
      </c>
      <c r="F11" s="1">
        <f t="shared" si="2"/>
        <v>-0.20588235294117646</v>
      </c>
      <c r="G11" s="1">
        <f t="shared" si="3"/>
        <v>0.33374999999999999</v>
      </c>
      <c r="H11" s="1">
        <f t="shared" si="4"/>
        <v>-11.124066851621059</v>
      </c>
    </row>
    <row r="12" spans="1:8" x14ac:dyDescent="0.35">
      <c r="A12" s="1">
        <v>0.33400000000000002</v>
      </c>
      <c r="B12" s="1">
        <v>0.67900000000000005</v>
      </c>
      <c r="C12" s="1">
        <v>0.45800000000000002</v>
      </c>
      <c r="D12" s="1">
        <f t="shared" si="0"/>
        <v>0.35050000000000003</v>
      </c>
      <c r="E12" s="1">
        <f t="shared" si="1"/>
        <v>2.0909090909090913</v>
      </c>
      <c r="F12" s="1">
        <f t="shared" si="2"/>
        <v>-0.57575757575757669</v>
      </c>
      <c r="G12" s="1">
        <f t="shared" si="3"/>
        <v>0.36699999999999999</v>
      </c>
      <c r="H12" s="1">
        <f t="shared" si="4"/>
        <v>-10.025062656641575</v>
      </c>
    </row>
    <row r="13" spans="1:8" x14ac:dyDescent="0.35">
      <c r="A13" s="1">
        <v>0.36699999999999999</v>
      </c>
      <c r="B13" s="1">
        <v>0.748</v>
      </c>
      <c r="C13" s="1">
        <v>0.439</v>
      </c>
      <c r="D13" s="1">
        <f t="shared" si="0"/>
        <v>0.38350000000000001</v>
      </c>
      <c r="E13" s="1">
        <f t="shared" si="1"/>
        <v>2.0606060606060574</v>
      </c>
      <c r="F13" s="1">
        <f t="shared" si="2"/>
        <v>-0.90909090909090906</v>
      </c>
      <c r="G13" s="1">
        <f t="shared" si="3"/>
        <v>0.40024999999999999</v>
      </c>
      <c r="H13" s="1">
        <f t="shared" si="4"/>
        <v>-9.7374092106313359</v>
      </c>
    </row>
    <row r="14" spans="1:8" x14ac:dyDescent="0.35">
      <c r="A14" s="1">
        <v>0.4</v>
      </c>
      <c r="B14" s="1">
        <v>0.81599999999999995</v>
      </c>
      <c r="C14" s="1">
        <v>0.40899999999999997</v>
      </c>
      <c r="D14" s="1">
        <f t="shared" si="0"/>
        <v>0.41700000000000004</v>
      </c>
      <c r="E14" s="1">
        <f t="shared" si="1"/>
        <v>1.9705882352941209</v>
      </c>
      <c r="F14" s="1">
        <f t="shared" si="2"/>
        <v>-1.2352941176470591</v>
      </c>
      <c r="G14" s="1">
        <f t="shared" si="3"/>
        <v>0.43375000000000002</v>
      </c>
      <c r="H14" s="1">
        <f t="shared" si="4"/>
        <v>-11.150871831986324</v>
      </c>
    </row>
    <row r="15" spans="1:8" x14ac:dyDescent="0.35">
      <c r="A15" s="1">
        <v>0.434</v>
      </c>
      <c r="B15" s="1">
        <v>0.88300000000000001</v>
      </c>
      <c r="C15" s="1">
        <v>0.36699999999999999</v>
      </c>
      <c r="D15" s="1">
        <f t="shared" si="0"/>
        <v>0.45050000000000001</v>
      </c>
      <c r="E15" s="1">
        <f t="shared" si="1"/>
        <v>2.0606060606060574</v>
      </c>
      <c r="F15" s="1">
        <f t="shared" si="2"/>
        <v>-1.6060606060606044</v>
      </c>
      <c r="G15" s="1">
        <f t="shared" si="3"/>
        <v>0.46700000000000003</v>
      </c>
      <c r="H15" s="1">
        <f t="shared" si="4"/>
        <v>-10.936431989063646</v>
      </c>
    </row>
    <row r="16" spans="1:8" x14ac:dyDescent="0.35">
      <c r="A16" s="1">
        <v>0.46700000000000003</v>
      </c>
      <c r="B16" s="1">
        <v>0.95099999999999996</v>
      </c>
      <c r="C16" s="1">
        <v>0.314</v>
      </c>
      <c r="D16" s="1">
        <f t="shared" si="0"/>
        <v>0.48350000000000004</v>
      </c>
      <c r="E16" s="1">
        <f t="shared" si="1"/>
        <v>2.0303030303030338</v>
      </c>
      <c r="F16" s="1">
        <f t="shared" si="2"/>
        <v>-1.9696969696969713</v>
      </c>
      <c r="G16" s="1">
        <f t="shared" si="3"/>
        <v>0.50025000000000008</v>
      </c>
      <c r="H16" s="1">
        <f t="shared" si="4"/>
        <v>-7.9282730731369222</v>
      </c>
    </row>
    <row r="17" spans="1:8" x14ac:dyDescent="0.35">
      <c r="A17" s="1">
        <v>0.5</v>
      </c>
      <c r="B17" s="1">
        <v>1.018</v>
      </c>
      <c r="C17" s="1">
        <v>0.249</v>
      </c>
      <c r="D17" s="1">
        <f t="shared" si="0"/>
        <v>0.51700000000000002</v>
      </c>
      <c r="E17" s="1">
        <f t="shared" si="1"/>
        <v>1.9411764705882353</v>
      </c>
      <c r="F17" s="1">
        <f t="shared" si="2"/>
        <v>-2.2352941176470571</v>
      </c>
      <c r="G17" s="1">
        <f t="shared" si="3"/>
        <v>0.53374999999999995</v>
      </c>
      <c r="H17" s="1">
        <f t="shared" si="4"/>
        <v>-12.062241164408595</v>
      </c>
    </row>
    <row r="18" spans="1:8" x14ac:dyDescent="0.35">
      <c r="A18" s="1">
        <v>0.53400000000000003</v>
      </c>
      <c r="B18" s="1">
        <v>1.0840000000000001</v>
      </c>
      <c r="C18" s="1">
        <v>0.17299999999999999</v>
      </c>
      <c r="D18" s="1">
        <f t="shared" si="0"/>
        <v>0.55049999999999999</v>
      </c>
      <c r="E18" s="1">
        <f t="shared" si="1"/>
        <v>2.0303030303030338</v>
      </c>
      <c r="F18" s="1">
        <f t="shared" si="2"/>
        <v>-2.6363636363636429</v>
      </c>
      <c r="G18" s="1">
        <f t="shared" si="3"/>
        <v>0.56699999999999995</v>
      </c>
      <c r="H18" s="1">
        <f t="shared" si="4"/>
        <v>-9.1136933242193514</v>
      </c>
    </row>
    <row r="19" spans="1:8" x14ac:dyDescent="0.35">
      <c r="A19" s="1">
        <v>0.56699999999999995</v>
      </c>
      <c r="B19" s="1">
        <v>1.151</v>
      </c>
      <c r="C19" s="1">
        <v>8.5999999999999993E-2</v>
      </c>
      <c r="D19" s="1">
        <f t="shared" si="0"/>
        <v>0.58349999999999991</v>
      </c>
      <c r="E19" s="1">
        <f t="shared" si="1"/>
        <v>1.9696969696969664</v>
      </c>
      <c r="F19" s="1">
        <f t="shared" si="2"/>
        <v>-2.9393939393939363</v>
      </c>
      <c r="G19" s="1">
        <f t="shared" si="3"/>
        <v>0.60024999999999995</v>
      </c>
      <c r="H19" s="1">
        <f t="shared" si="4"/>
        <v>-7.9548780163354182</v>
      </c>
    </row>
    <row r="20" spans="1:8" x14ac:dyDescent="0.35">
      <c r="A20" s="1">
        <v>0.6</v>
      </c>
      <c r="B20" s="1">
        <v>1.216</v>
      </c>
      <c r="C20" s="1">
        <v>-1.0999999999999999E-2</v>
      </c>
      <c r="D20" s="1">
        <f t="shared" si="0"/>
        <v>0.61699999999999999</v>
      </c>
      <c r="E20" s="1">
        <f t="shared" si="1"/>
        <v>1.8823529411764706</v>
      </c>
      <c r="F20" s="1">
        <f t="shared" si="2"/>
        <v>-3.2058823529411735</v>
      </c>
      <c r="G20" s="1">
        <f t="shared" si="3"/>
        <v>0.63375000000000004</v>
      </c>
      <c r="H20" s="1">
        <f t="shared" si="4"/>
        <v>-11.041051427355205</v>
      </c>
    </row>
    <row r="21" spans="1:8" x14ac:dyDescent="0.35">
      <c r="A21" s="1">
        <v>0.63400000000000001</v>
      </c>
      <c r="B21" s="1">
        <v>1.28</v>
      </c>
      <c r="C21" s="1">
        <v>-0.12</v>
      </c>
      <c r="D21" s="1">
        <f t="shared" si="0"/>
        <v>0.65050000000000008</v>
      </c>
      <c r="E21" s="1">
        <f t="shared" si="1"/>
        <v>1.9393939393939394</v>
      </c>
      <c r="F21" s="1">
        <f t="shared" si="2"/>
        <v>-3.5757575757575726</v>
      </c>
      <c r="G21" s="1">
        <f t="shared" si="3"/>
        <v>0.66725000000000001</v>
      </c>
      <c r="H21" s="1">
        <f t="shared" si="4"/>
        <v>-5.6402479580709723</v>
      </c>
    </row>
    <row r="22" spans="1:8" x14ac:dyDescent="0.35">
      <c r="A22" s="1">
        <v>0.66700000000000004</v>
      </c>
      <c r="B22" s="1">
        <v>1.3440000000000001</v>
      </c>
      <c r="C22" s="1">
        <v>-0.23799999999999999</v>
      </c>
      <c r="D22" s="1">
        <f t="shared" si="0"/>
        <v>0.68399999999999994</v>
      </c>
      <c r="E22" s="1">
        <f t="shared" si="1"/>
        <v>1.852941176470591</v>
      </c>
      <c r="F22" s="1">
        <f t="shared" si="2"/>
        <v>-3.76470588235295</v>
      </c>
      <c r="G22" s="1">
        <f t="shared" si="3"/>
        <v>0.70074999999999998</v>
      </c>
      <c r="H22" s="1">
        <f t="shared" si="4"/>
        <v>-12.451113416872449</v>
      </c>
    </row>
    <row r="23" spans="1:8" x14ac:dyDescent="0.35">
      <c r="A23" s="1">
        <v>0.70099999999999996</v>
      </c>
      <c r="B23" s="1">
        <v>1.407</v>
      </c>
      <c r="C23" s="1">
        <v>-0.36599999999999999</v>
      </c>
      <c r="D23" s="1">
        <f t="shared" si="0"/>
        <v>0.71750000000000003</v>
      </c>
      <c r="E23" s="1">
        <f t="shared" si="1"/>
        <v>1.8787878787878789</v>
      </c>
      <c r="F23" s="1">
        <f t="shared" si="2"/>
        <v>-4.1818181818181781</v>
      </c>
      <c r="G23" s="1">
        <f t="shared" si="3"/>
        <v>0.73425000000000007</v>
      </c>
      <c r="H23" s="1">
        <f t="shared" si="4"/>
        <v>-4.2301859685529983</v>
      </c>
    </row>
    <row r="24" spans="1:8" x14ac:dyDescent="0.35">
      <c r="A24" s="1">
        <v>0.73399999999999999</v>
      </c>
      <c r="B24" s="1">
        <v>1.4690000000000001</v>
      </c>
      <c r="C24" s="1">
        <v>-0.504</v>
      </c>
      <c r="D24" s="1">
        <f t="shared" si="0"/>
        <v>0.751</v>
      </c>
      <c r="E24" s="1">
        <f t="shared" si="1"/>
        <v>1.8235294117646994</v>
      </c>
      <c r="F24" s="1">
        <f t="shared" si="2"/>
        <v>-4.323529411764703</v>
      </c>
      <c r="G24" s="1">
        <f t="shared" si="3"/>
        <v>0.76774999999999993</v>
      </c>
      <c r="H24" s="1">
        <f t="shared" si="4"/>
        <v>-12.14265610550439</v>
      </c>
    </row>
    <row r="25" spans="1:8" x14ac:dyDescent="0.35">
      <c r="A25" s="1">
        <v>0.76800000000000002</v>
      </c>
      <c r="B25" s="1">
        <v>1.5309999999999999</v>
      </c>
      <c r="C25" s="1">
        <v>-0.65100000000000002</v>
      </c>
      <c r="D25" s="1">
        <f t="shared" si="0"/>
        <v>0.78449999999999998</v>
      </c>
      <c r="E25" s="1">
        <f t="shared" si="1"/>
        <v>1.848484848484852</v>
      </c>
      <c r="F25" s="1">
        <f t="shared" si="2"/>
        <v>-4.727272727272724</v>
      </c>
      <c r="G25" s="1">
        <f t="shared" si="3"/>
        <v>0.80099999999999993</v>
      </c>
      <c r="H25" s="1">
        <f t="shared" si="4"/>
        <v>1.8140589569161758</v>
      </c>
    </row>
    <row r="26" spans="1:8" x14ac:dyDescent="0.35">
      <c r="A26" s="1">
        <v>0.80100000000000005</v>
      </c>
      <c r="B26" s="1">
        <v>1.5920000000000001</v>
      </c>
      <c r="C26" s="1">
        <v>-0.80700000000000005</v>
      </c>
      <c r="D26" s="1">
        <f t="shared" si="0"/>
        <v>0.8175</v>
      </c>
      <c r="E26" s="1">
        <f t="shared" si="1"/>
        <v>1.7878787878787905</v>
      </c>
      <c r="F26" s="1">
        <f t="shared" si="2"/>
        <v>-5.0606060606060712</v>
      </c>
      <c r="G26" s="1">
        <f t="shared" si="3"/>
        <v>0.61724999999999997</v>
      </c>
      <c r="H26" s="1">
        <f t="shared" si="4"/>
        <v>-9.5235237998092206</v>
      </c>
    </row>
    <row r="27" spans="1:8" x14ac:dyDescent="0.35">
      <c r="A27" s="1">
        <v>0.83399999999999996</v>
      </c>
      <c r="B27" s="1">
        <v>1.651</v>
      </c>
      <c r="C27" s="1">
        <v>-0.97399999999999998</v>
      </c>
      <c r="D27" s="1">
        <f t="shared" si="0"/>
        <v>0.41699999999999998</v>
      </c>
      <c r="E27" s="1">
        <f t="shared" si="1"/>
        <v>1.9796163069544366</v>
      </c>
      <c r="F27" s="1">
        <f t="shared" si="2"/>
        <v>-1.1678657074340528</v>
      </c>
      <c r="G27" s="1">
        <f t="shared" si="3"/>
        <v>0.20849999999999999</v>
      </c>
      <c r="H27" s="1">
        <f t="shared" si="4"/>
        <v>-5.6012743761825075</v>
      </c>
    </row>
    <row r="29" spans="1:8" x14ac:dyDescent="0.35">
      <c r="H29" s="1">
        <f>AVERAGE(H2:H27)</f>
        <v>-9.3825304312206033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ruan reyneke</cp:lastModifiedBy>
  <cp:lastPrinted>2021-05-19T20:58:12Z</cp:lastPrinted>
  <dcterms:created xsi:type="dcterms:W3CDTF">2021-05-17T12:23:57Z</dcterms:created>
  <dcterms:modified xsi:type="dcterms:W3CDTF">2021-05-20T16:09:00Z</dcterms:modified>
</cp:coreProperties>
</file>